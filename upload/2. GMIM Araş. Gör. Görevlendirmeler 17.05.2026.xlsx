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gumdoganay/Desktop/GÖREVLER/1. GMIM ARGÖR/"/>
    </mc:Choice>
  </mc:AlternateContent>
  <xr:revisionPtr revIDLastSave="0" documentId="13_ncr:1_{FE3F2B07-109D-D840-9FC8-DA3C55550BD2}" xr6:coauthVersionLast="47" xr6:coauthVersionMax="47" xr10:uidLastSave="{00000000-0000-0000-0000-000000000000}"/>
  <bookViews>
    <workbookView xWindow="4220" yWindow="500" windowWidth="33880" windowHeight="19300" activeTab="12" xr2:uid="{3F9C0BFF-D124-CE4C-9840-A541873E476E}"/>
  </bookViews>
  <sheets>
    <sheet name="TOPLAM" sheetId="1" r:id="rId1"/>
    <sheet name="Ar.Gör. Bilgileri" sheetId="18" r:id="rId2"/>
    <sheet name="Puan Baremi" sheetId="13" r:id="rId3"/>
    <sheet name="Haftalık Program" sheetId="16" r:id="rId4"/>
    <sheet name="Genel Görevler" sheetId="17" r:id="rId5"/>
    <sheet name="Begüm DOGANAY" sheetId="12" r:id="rId6"/>
    <sheet name="Fatih NACAR" sheetId="2" r:id="rId7"/>
    <sheet name="Y.Tarık MUTLU" sheetId="5" r:id="rId8"/>
    <sheet name="Merve GÜL ÇIVGIN" sheetId="7" r:id="rId9"/>
    <sheet name="Sinan COŞKUN" sheetId="14" r:id="rId10"/>
    <sheet name="Rukiye GÜLMEZ" sheetId="6" r:id="rId11"/>
    <sheet name="Samet BİÇEN" sheetId="3" r:id="rId12"/>
    <sheet name="Cenk KAYA" sheetId="19" r:id="rId13"/>
    <sheet name="Berkehan İNAL" sheetId="8" r:id="rId14"/>
    <sheet name="Muhittin ORHAN" sheetId="4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9" l="1"/>
  <c r="G42" i="3"/>
  <c r="H61" i="6"/>
  <c r="F67" i="14"/>
  <c r="E133" i="5"/>
  <c r="E83" i="19" l="1"/>
  <c r="C3" i="1" s="1"/>
  <c r="E106" i="7"/>
  <c r="C5" i="1" s="1"/>
  <c r="E89" i="6"/>
  <c r="C8" i="1" s="1"/>
  <c r="E97" i="14"/>
  <c r="C11" i="1" s="1"/>
  <c r="E56" i="3"/>
  <c r="C9" i="1" s="1"/>
  <c r="E99" i="2"/>
  <c r="C4" i="1" s="1"/>
  <c r="E113" i="12"/>
  <c r="C2" i="1" s="1"/>
  <c r="C10" i="1"/>
  <c r="F15" i="2"/>
  <c r="F2" i="5"/>
  <c r="F14" i="5"/>
  <c r="F10" i="7"/>
  <c r="F2" i="7"/>
  <c r="F17" i="12"/>
  <c r="F10" i="6"/>
  <c r="F2" i="6"/>
  <c r="F2" i="2"/>
  <c r="F2" i="12"/>
  <c r="E82" i="4"/>
  <c r="C6" i="1" s="1"/>
  <c r="G97" i="14" l="1"/>
  <c r="F1" i="1" a="1"/>
  <c r="F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29" authorId="0" shapeId="0" xr:uid="{642A976C-D2F9-BA48-8377-ED569EEDDB43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01.04.2026'da 1 puandan 2 puana çıkarıldı.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23" authorId="0" shapeId="0" xr:uid="{D0A171B6-85DC-564E-A47F-28D9D9DD505A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yılda 4 kere itü içi, yılda 2 kere de uluslararası tüm paydaşlara - direkt karşıdan görevlendirmesi var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E26" authorId="0" shapeId="0" xr:uid="{1C282633-55BD-6C46-8B6A-2ACCB5E8E4A8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Normalde 3 puan ama mesai dışı olduğuniçin +1</t>
        </r>
      </text>
    </comment>
    <comment ref="E52" authorId="0" shapeId="0" xr:uid="{DAB59A1C-3BD7-4844-9B54-DA26ACD680F9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MEB İng. kitabı için simülatör anlatımı</t>
        </r>
      </text>
    </comment>
    <comment ref="E53" authorId="0" shapeId="0" xr:uid="{B663399C-B49E-BD42-93CF-D1E6832C6359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Normalde 14 puan ancak çok fazla puan gözüktüğü için 4 puan verilmedi.</t>
        </r>
      </text>
    </comment>
    <comment ref="E55" authorId="0" shapeId="0" xr:uid="{C8E35A89-CBD8-8F46-B03E-213F2A4635EA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Normalde 12 puan ancak çok fazla puan gözüktüğü için 2 puan verilmedi.
</t>
        </r>
      </text>
    </comment>
    <comment ref="E57" authorId="0" shapeId="0" xr:uid="{ADEF5857-E521-804E-805C-979CBD3A161F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Görevlendirme geç geldiği için akşam yapıldı.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E61" authorId="0" shapeId="0" xr:uid="{65EFCF80-7EB6-054E-81F1-526904FC57E6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dersin tamamını verecek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E12" authorId="0" shapeId="0" xr:uid="{C476C6A6-6261-9947-884B-9088C480954A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Tanıtım günlerinde aynı gün olduğu için yol çıkarıldı.</t>
        </r>
      </text>
    </comment>
    <comment ref="E63" authorId="0" shapeId="0" xr:uid="{38773339-589A-7141-BB52-E2E7D55F1AED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Servis dersleri final derslik ve gözetmen revizesi, hocalar ile görüşme ve düzenleme yapılması 20:00 - 22:00</t>
        </r>
      </text>
    </comment>
    <comment ref="E74" authorId="0" shapeId="0" xr:uid="{48DFC177-1AAA-BC46-88D0-CA18F5AC6423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Bahar dönemi derslik planlaması için Esma Hoca ve ayrıca Veysi Hoca ile toplantı 14:00 - 16:00</t>
        </r>
      </text>
    </comment>
    <comment ref="E77" authorId="0" shapeId="0" xr:uid="{D9536703-31AC-A646-A29B-4B9BCBC99E53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Calibri"/>
            <family val="2"/>
          </rPr>
          <t>Bahar dönemi derslik revizeleri Çağlar Hoca Esma Hocam ve Gizme Hoca ile görüşme ve revizeler yapılması 20:00-22:45</t>
        </r>
      </text>
    </comment>
    <comment ref="E78" authorId="0" shapeId="0" xr:uid="{9EC30067-89BE-2746-8013-A3CBB7AEC16E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Calibri"/>
            <family val="2"/>
          </rPr>
          <t>Esma Hoca ile bahar dönemi derslik revizeleri toplantısı 08:30-10:30</t>
        </r>
      </text>
    </comment>
    <comment ref="E79" authorId="0" shapeId="0" xr:uid="{E2F010EA-941B-234F-9FAC-6EC448DAC2D5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Calibri"/>
            <family val="2"/>
          </rPr>
          <t>Esma Hoca ile bahar dönemi derslik ve kontenjan işleri 10:30-12:30</t>
        </r>
      </text>
    </comment>
    <comment ref="E80" authorId="0" shapeId="0" xr:uid="{46A41D30-8611-3444-B28B-B156AD78F4CC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Calibri"/>
            <family val="2"/>
          </rPr>
          <t>Esma Hoca ile bahar dönemi derslik ve kontenjan işleri 10:00-12:00 &amp; 14:45 - 17:00</t>
        </r>
      </text>
    </comment>
    <comment ref="E81" authorId="0" shapeId="0" xr:uid="{D16FD8F3-26EB-D349-BFBA-A8BEC9B5BDCA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Esma Hoca ile bahar dönemi derslik ve kontenjan işleri 10:00-12:00 &amp; 14:00 - 16:00</t>
        </r>
      </text>
    </comment>
    <comment ref="E82" authorId="0" shapeId="0" xr:uid="{66828D86-D14A-C94F-A265-E6627E1E7AAC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Bahar dönemi derslik revizyonları ve derslik planlamsı değişiklikleri 12:00-12:45 &amp; 15:30-16:30 &amp; 20:00-21:45 &amp; 23:15-00:00</t>
        </r>
      </text>
    </comment>
    <comment ref="E83" authorId="0" shapeId="0" xr:uid="{19225AD4-DC96-DA42-90DA-D1CA5886813A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Esma Hoca ile Erasmus öğrencilerinin ders programlarının oluşturulması 11:15-12:15</t>
        </r>
      </text>
    </comment>
    <comment ref="E84" authorId="0" shapeId="0" xr:uid="{0BA33510-7DA6-AC4A-8699-341BB0D76333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Esma Hoca ve Vedat ile toplantı 13:45-14:30</t>
        </r>
      </text>
    </comment>
    <comment ref="E85" authorId="0" shapeId="0" xr:uid="{28B26433-04B5-5D49-9E44-0765377D706A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 xml:space="preserve">*Sayım hurda kom. yıkılan binalar ve ayrıca hurdaya ayrılan malzemeler için hazırlanan evrakların incelenmesi 15:00-15:30
</t>
        </r>
        <r>
          <rPr>
            <sz val="10"/>
            <color rgb="FF000000"/>
            <rFont val="Tahoma"/>
            <family val="2"/>
            <charset val="162"/>
          </rPr>
          <t xml:space="preserve">*Fakülte denizci eğitimci belgesi işleri için mevzuat taraması ve döküman oluşturma 16:00-16:45 </t>
        </r>
      </text>
    </comment>
    <comment ref="E86" authorId="0" shapeId="0" xr:uid="{92B63827-A900-E24C-BEA7-887EDFA2E8BF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Calibri"/>
            <family val="2"/>
          </rPr>
          <t>Esma Hoca ve Vedat ile toplantı 11:30-12:30</t>
        </r>
      </text>
    </comment>
    <comment ref="E87" authorId="0" shapeId="0" xr:uid="{6396A2AB-71D4-C04F-B1E1-6E8F53F5CAFF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Esma Hoca ile erasmus öğrencileri ders programı revize 15:00-15:30</t>
        </r>
      </text>
    </comment>
    <comment ref="E88" authorId="0" shapeId="0" xr:uid="{D2695737-3835-AC47-8FDA-063BA6A78894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Esma Hoca ile erasmus öğrencileri ders programı revize 15:00-15:30</t>
        </r>
      </text>
    </comment>
    <comment ref="E89" authorId="0" shapeId="0" xr:uid="{1AE71A34-FD40-BC43-BD1C-200B36EDDA4A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Calibri"/>
            <family val="2"/>
          </rPr>
          <t>Esma Hoca ile manuel kayıt talepleri işleri 15:00-16:00</t>
        </r>
      </text>
    </comment>
    <comment ref="E98" authorId="0" shapeId="0" xr:uid="{117911A7-D014-D540-84AB-68EDD59D05CC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Staj komisyonu toplantısı 15:00 - 16:30</t>
        </r>
      </text>
    </comment>
    <comment ref="E102" authorId="0" shapeId="0" xr:uid="{C074587C-D9C8-B243-A3F7-BC6389E5B9E6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Final sınavları derslik atama Esma Hoca ile toplantı 13:30-15:00</t>
        </r>
      </text>
    </comment>
    <comment ref="E107" authorId="0" shapeId="0" xr:uid="{A4BD5FC0-B479-D349-BCAB-B3FC25E47488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Final sınavları derslik atama kontrol, revize ve Şenay Hnm ile koordinasyon 1 saat</t>
        </r>
      </text>
    </comment>
    <comment ref="E109" authorId="0" shapeId="0" xr:uid="{4AB0579A-9F35-4C4B-B841-2882E1F8C02D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Final sınavları derslik atama Toprak ve Esma Hoca ile toplantı 11:30-13:00</t>
        </r>
      </text>
    </comment>
    <comment ref="E110" authorId="0" shapeId="0" xr:uid="{6420DB01-9B1F-C949-A066-C6C67ECA840C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Calibri"/>
            <family val="2"/>
          </rPr>
          <t>Final derslik atama revizeler ve sınıflara asılması için her sınıf için final programı hazırlanması 14:00-15:00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E52" authorId="0" shapeId="0" xr:uid="{1BD228EE-9ACA-014B-857D-5C7308517B5C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 xml:space="preserve">18.02.2026 saat 15.30 da ireegular öğrencilerin tanıtımı olacak. Onu gizem Elidolu sunumunu yapacak tanıtım sunumunu ama sonradan fakülteyi gezdirmek için bir Argör daha görevlendirilmesini istediler bölümlerden. </t>
        </r>
      </text>
    </comment>
    <comment ref="E61" authorId="0" shapeId="0" xr:uid="{A0AEEEDA-61D4-A341-8C5C-C76840D31D59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 xml:space="preserve">IMHFC abstract submit sistemi revizyonları 1 saat </t>
        </r>
      </text>
    </comment>
    <comment ref="E64" authorId="0" shapeId="0" xr:uid="{F7B9D577-8707-7140-B9BF-89F9E9432163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24 mart ta esma abla- fatih- ben 1 saat toplantı yaptık</t>
        </r>
      </text>
    </comment>
    <comment ref="E72" authorId="0" shapeId="0" xr:uid="{75833DBA-07E2-2D48-BA42-3370946FF765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toplantı hazırlığı- websitesi güncellemeleri-bildirilerin takibi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E39" authorId="0" shapeId="0" xr:uid="{89464F45-4842-DC4B-9C78-77401DDF9802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13 Şubat ta 32 öğrenci ve 2 Öğretmenleri ile birlikte Mehmet Tekinalp Anadolu lisesi</t>
        </r>
      </text>
    </comment>
    <comment ref="E40" authorId="0" shapeId="0" xr:uid="{36930B59-3366-E442-B03A-302C0251F104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20 şubat cuma, pendik barbaros hayrettin paşa denizcilik ve mesleki ve teknik anadolu lisesi 93 kişi gelecekler. 1gv+1mk argör</t>
        </r>
      </text>
    </comment>
    <comment ref="E48" authorId="0" shapeId="0" xr:uid="{B34D5DB7-E2F2-FD49-B2F5-CA492146F08F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Fatih Nacar yerine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E42" authorId="0" shapeId="0" xr:uid="{CCEE1DF3-15D5-6E46-92C5-3294D8D1C897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 xml:space="preserve">Yalçın hoca final hazırlığı 15:00- 16:00
</t>
        </r>
        <r>
          <rPr>
            <sz val="10"/>
            <color rgb="FF000000"/>
            <rFont val="Tahoma"/>
            <family val="2"/>
            <charset val="162"/>
          </rPr>
          <t>İşin ayrıntısı belirtilmemiş belirtilince makul bulunursa puan verilecek.</t>
        </r>
      </text>
    </comment>
    <comment ref="E44" authorId="0" shapeId="0" xr:uid="{E82A4630-63AA-1E4E-8110-C58077FD93D5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Çağlar hoca yardımcı sınav final haz. 14:00-15:00
</t>
        </r>
        <r>
          <rPr>
            <sz val="10"/>
            <color rgb="FF000000"/>
            <rFont val="Calibri"/>
            <family val="2"/>
          </rPr>
          <t xml:space="preserve">İşin ayrıntısı belirtilmemiş belirtilince makul bulunursa puan verilecek.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E3" authorId="0" shapeId="0" xr:uid="{7554DE24-6CD0-C24E-AD47-A9582A040894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Kendi dersinin gözetmenliğini yapmadı (ERS)</t>
        </r>
      </text>
    </comment>
    <comment ref="E4" authorId="0" shapeId="0" xr:uid="{A336E1E7-5C62-1141-8098-5BF5E02F5E2F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Toplatının tamamında bulunmadı</t>
        </r>
      </text>
    </comment>
    <comment ref="B35" authorId="0" shapeId="0" xr:uid="{144444B2-3D1D-4C47-AB0F-DE7A1B203DDE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Cenk Ay ile yer değiştirmiş</t>
        </r>
      </text>
    </comment>
    <comment ref="E35" authorId="0" shapeId="0" xr:uid="{D8AC38D3-2DD8-F843-ACB4-3DD35E98B57F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YERİNE CENK AY GİRDİ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E7" authorId="0" shapeId="0" xr:uid="{6AC12FDB-ED7D-8046-AC9E-EB21D9DD39E5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2 hafta soru çözümü yapılacak</t>
        </r>
      </text>
    </comment>
    <comment ref="E8" authorId="0" shapeId="0" xr:uid="{73699E53-2591-0B49-BD93-4D6000BF7000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katı modelleme ders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J4" authorId="0" shapeId="0" xr:uid="{6448EB66-98F7-5E4F-B05A-39DCEF9CA225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yılda 4 kere itü içi, yılda 2 kere de uluslararası tüm paydaşlara - direkt karşıdan görevlendirmesi var</t>
        </r>
      </text>
    </comment>
    <comment ref="E15" authorId="0" shapeId="0" xr:uid="{AFEDB774-366B-314B-AD48-5D7FB02CBE5D}">
      <text>
        <r>
          <rPr>
            <sz val="10"/>
            <color rgb="FF000000"/>
            <rFont val="Tahoma"/>
            <family val="2"/>
            <charset val="162"/>
          </rPr>
          <t>not + quiz + yoklama girişleri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<sst xmlns="http://schemas.openxmlformats.org/spreadsheetml/2006/main" count="1891" uniqueCount="663">
  <si>
    <t>Tarih</t>
  </si>
  <si>
    <t>Çalışılan saat</t>
  </si>
  <si>
    <t>Puanı</t>
  </si>
  <si>
    <t>Araştırma Görevlisi</t>
  </si>
  <si>
    <t>Cenk KAYA</t>
  </si>
  <si>
    <t>Begüm DOGANAY</t>
  </si>
  <si>
    <t>Fatih NACAR</t>
  </si>
  <si>
    <t>Muhittin ORHAN</t>
  </si>
  <si>
    <t>Rukiye GÜLMEZ</t>
  </si>
  <si>
    <t>Merve GÜL ÇIVGIN</t>
  </si>
  <si>
    <t>Y.Tarık MUTLU</t>
  </si>
  <si>
    <t>Ö. Berkehan İnal</t>
  </si>
  <si>
    <t>Saat</t>
  </si>
  <si>
    <t>Sayı</t>
  </si>
  <si>
    <t>Görev</t>
  </si>
  <si>
    <t>Puan</t>
  </si>
  <si>
    <t>Ders Programı</t>
  </si>
  <si>
    <t>Gemi Mak. Operasyon&amp;Bakımı</t>
  </si>
  <si>
    <t>Ders kodu</t>
  </si>
  <si>
    <t>GMI 324</t>
  </si>
  <si>
    <t>Perşembe</t>
  </si>
  <si>
    <t>Ders adı</t>
  </si>
  <si>
    <t>Gün</t>
  </si>
  <si>
    <t>13:30/15:29</t>
  </si>
  <si>
    <t>15:30/17:29</t>
  </si>
  <si>
    <t>Ship Machinery Operation and Maintenance</t>
  </si>
  <si>
    <t>Çarşamba</t>
  </si>
  <si>
    <t>GMI 324E</t>
  </si>
  <si>
    <t>Engine Room Simulator (ERS) I</t>
  </si>
  <si>
    <t>08:30/11:29</t>
  </si>
  <si>
    <t>GMI 384E</t>
  </si>
  <si>
    <t>Gemi Yardımcı Makineleri II</t>
  </si>
  <si>
    <t>GMI 454</t>
  </si>
  <si>
    <t>DAİMİ GÖREVLERİ</t>
  </si>
  <si>
    <t>Kalite Komisyonu</t>
  </si>
  <si>
    <t>Görevi</t>
  </si>
  <si>
    <t>Staj Komisyonu</t>
  </si>
  <si>
    <t>ABET evrakları düzenlemesinde yardımcı olmaktadır.</t>
  </si>
  <si>
    <t>Eğitim gemisine öğrenci seçimi gemiyle okul arasındaki iletişim</t>
  </si>
  <si>
    <t>3.sınıf öğrencileri ile ilgilenmekte.</t>
  </si>
  <si>
    <t>3.Sınıf amiri</t>
  </si>
  <si>
    <t>itü df kalite ve çevre komisyonu</t>
  </si>
  <si>
    <t>temel bilimler bölümü ar gör temsilciği</t>
  </si>
  <si>
    <t>temel bilimler için kalite koordinatörü</t>
  </si>
  <si>
    <t xml:space="preserve"> itü df adına yıllık e-bülten hazırlanma </t>
  </si>
  <si>
    <t xml:space="preserve"> itü-delmar denizde canlı kalma eğitim merkezi koordinatörlüğü </t>
  </si>
  <si>
    <t>4.sınıf amirliği</t>
  </si>
  <si>
    <t>DAİMİ GÖREVLER</t>
  </si>
  <si>
    <t>Burs Komisyonu</t>
  </si>
  <si>
    <t>Dekanlık üzerinden yapılan protokollere tesis ayarlama ve eğitim planlama</t>
  </si>
  <si>
    <t>Simülatör sorumlusu</t>
  </si>
  <si>
    <t>SEM</t>
  </si>
  <si>
    <t>Kalite komisyonu: ABET tüm evrakları düzenleme, raporlama</t>
  </si>
  <si>
    <t>İTÜ DF Makine Ar.Gör.Temsilciliği</t>
  </si>
  <si>
    <t>İTÜ DF Ar.Gör temsilciliği</t>
  </si>
  <si>
    <t>Gözetmenlik Puanlama Sistemi</t>
  </si>
  <si>
    <t>1 Puan</t>
  </si>
  <si>
    <t>2 Puan</t>
  </si>
  <si>
    <t>3 puan</t>
  </si>
  <si>
    <t>Görev Puanlama Sistemi</t>
  </si>
  <si>
    <t>3 Puan</t>
  </si>
  <si>
    <t>Liman Komisyonu</t>
  </si>
  <si>
    <t>4 Puan</t>
  </si>
  <si>
    <t>5 puan</t>
  </si>
  <si>
    <t>Tuzla haftasonu 1 sınav</t>
  </si>
  <si>
    <t xml:space="preserve">Maslak haftaiçi 1 sınav </t>
  </si>
  <si>
    <t xml:space="preserve">Maslak haftasonu 1 sınav </t>
  </si>
  <si>
    <t>Yüksek lisans bitirme tezi (adet)</t>
  </si>
  <si>
    <t>Not Komisyonu (40-50 kişi)</t>
  </si>
  <si>
    <t>Not Komisyonu (max 10 kişi)</t>
  </si>
  <si>
    <t>Fakülte Gezisi (1-2 saat)</t>
  </si>
  <si>
    <t>Fakülte Gezisi (2 Saat üzeri)</t>
  </si>
  <si>
    <t>6 Puan</t>
  </si>
  <si>
    <t>8 Puan</t>
  </si>
  <si>
    <t xml:space="preserve">EMSA vb denet hazırlıkları (gün başına) </t>
  </si>
  <si>
    <t>EMSA/IMO/Bakanlık denet günü</t>
  </si>
  <si>
    <t>Rapor hazırlama (adet)</t>
  </si>
  <si>
    <t>10 EYLÜL 2025 YURTDIŞINA GİDİYOR</t>
  </si>
  <si>
    <t>Cuma</t>
  </si>
  <si>
    <t xml:space="preserve">Salı </t>
  </si>
  <si>
    <t>Tüm Gün</t>
  </si>
  <si>
    <t>13:00-17:00</t>
  </si>
  <si>
    <t>Güz Dönemi</t>
  </si>
  <si>
    <t>8 Ekim - 29 Kasım</t>
  </si>
  <si>
    <t>5 Aralık - 2 Ocak</t>
  </si>
  <si>
    <t>6 Şubat - 8 Mayıs</t>
  </si>
  <si>
    <t>YTÜ</t>
  </si>
  <si>
    <t>Online (Tuzla Ofisten)</t>
  </si>
  <si>
    <t>Aralığı</t>
  </si>
  <si>
    <t>Not Komisyonu</t>
  </si>
  <si>
    <t>Makine 1. Sınıflar Amiri</t>
  </si>
  <si>
    <t>Tez Dağıtım</t>
  </si>
  <si>
    <t>TOPLAM</t>
  </si>
  <si>
    <t>Samet BİÇEN</t>
  </si>
  <si>
    <t>Her Cuma Teknopark görevi</t>
  </si>
  <si>
    <t>Liman ve Not Komisyonu</t>
  </si>
  <si>
    <t>Simülatör yardımcısı</t>
  </si>
  <si>
    <t>MÜDEK ders katalogları hazırlama</t>
  </si>
  <si>
    <t xml:space="preserve">MÜDEK öz değerlendirme formu oluşturma </t>
  </si>
  <si>
    <t>1 Temmuz 2025'ten itibaren puan tablosu başlayacaktır.</t>
  </si>
  <si>
    <t>TÜM GÜN</t>
  </si>
  <si>
    <t>Maslak Mezuniyet</t>
  </si>
  <si>
    <t>Staj başvuru ve kabul işleri</t>
  </si>
  <si>
    <t>Sisteme katalog çıktı girdisi</t>
  </si>
  <si>
    <t>2 saat</t>
  </si>
  <si>
    <t>4 saat</t>
  </si>
  <si>
    <t>8 saat</t>
  </si>
  <si>
    <t>1 saat</t>
  </si>
  <si>
    <t>Fizik sınavı (Maslak)</t>
  </si>
  <si>
    <t>NATO ön hazırlık</t>
  </si>
  <si>
    <t>NATO 13-17 Ekim görevlendirme</t>
  </si>
  <si>
    <t>13-17 Ekim 2025</t>
  </si>
  <si>
    <t>2 gün</t>
  </si>
  <si>
    <t xml:space="preserve">NATO Öğrencilerin Kaydı </t>
  </si>
  <si>
    <t>NATO Fakülte Hocalarının Kaydı</t>
  </si>
  <si>
    <t>NATO VIP Kayıt ve iletişim</t>
  </si>
  <si>
    <t>tüm gün</t>
  </si>
  <si>
    <t>NATO basın görevlendirmesi</t>
  </si>
  <si>
    <t>4 gün</t>
  </si>
  <si>
    <t>Ders katalog formu hazırlama</t>
  </si>
  <si>
    <t>Lisans bitirme tezi (adet)</t>
  </si>
  <si>
    <t>Fakülte tanıtımı (random)</t>
  </si>
  <si>
    <t>Fakülte gezdirme (Çinliler)</t>
  </si>
  <si>
    <t>NATO Kapıda karşılama</t>
  </si>
  <si>
    <t>NATO (gün)</t>
  </si>
  <si>
    <t>Simülatör tanıtımı</t>
  </si>
  <si>
    <t>3 saat</t>
  </si>
  <si>
    <t xml:space="preserve">Tanıtım günleri (Ayazağa-Haftaiçi) </t>
  </si>
  <si>
    <t>Tanıtım günleri (Fakülte-Haftaiçi)</t>
  </si>
  <si>
    <t xml:space="preserve">Tanıtım günleri (Ayazağa-Haftasonu) </t>
  </si>
  <si>
    <t>Tanıtım günleri (Fakülte-Haftasonu)</t>
  </si>
  <si>
    <t>10 Puan</t>
  </si>
  <si>
    <t>Toplantı (Bölüm Kurulu)</t>
  </si>
  <si>
    <t>Toplantı (MÜDEK )</t>
  </si>
  <si>
    <t>Sisteme SUNY katalog yüklemesi</t>
  </si>
  <si>
    <t>GÜZ DÖNEMİ</t>
  </si>
  <si>
    <t>Sinan COŞKUN</t>
  </si>
  <si>
    <t>Mezuniyet Maslak</t>
  </si>
  <si>
    <t>15:00-23:00</t>
  </si>
  <si>
    <t>Ders Değerlendirme Anketi Rapor Hazırlama</t>
  </si>
  <si>
    <t>1 Mesai Günü</t>
  </si>
  <si>
    <t>2 SAAT</t>
  </si>
  <si>
    <t>Ders Programı İşleri</t>
  </si>
  <si>
    <t>11:00-16:00</t>
  </si>
  <si>
    <t>10:00-15:00</t>
  </si>
  <si>
    <t>09:30-17:00</t>
  </si>
  <si>
    <t>13:00-15:30</t>
  </si>
  <si>
    <t>14:00-17:00</t>
  </si>
  <si>
    <t>09:00-12:00</t>
  </si>
  <si>
    <t>09:00-17:00</t>
  </si>
  <si>
    <t>19:00-20:00</t>
  </si>
  <si>
    <t>20:30-22:00</t>
  </si>
  <si>
    <t>10:00-14:00</t>
  </si>
  <si>
    <t>10:00-11:00</t>
  </si>
  <si>
    <t>Burs Komisyonu Fakülte Burs Formu Hazırlama</t>
  </si>
  <si>
    <t>3 SAAT</t>
  </si>
  <si>
    <t>16:30-23:30</t>
  </si>
  <si>
    <t>Say. &amp; Hurd. Kom. Depoların Gezilmesi &amp; Kontrol</t>
  </si>
  <si>
    <t>11:00-11:45</t>
  </si>
  <si>
    <t>17:15-18:45</t>
  </si>
  <si>
    <t>11:30-12:30</t>
  </si>
  <si>
    <t>Add - Drop Dilekçe İşleri</t>
  </si>
  <si>
    <t>10:00-17:00</t>
  </si>
  <si>
    <t>NATO SHINE</t>
  </si>
  <si>
    <t>09:00-18:30</t>
  </si>
  <si>
    <t>09:00-18:00</t>
  </si>
  <si>
    <t>22:45-00:15</t>
  </si>
  <si>
    <t>3 GÜN</t>
  </si>
  <si>
    <t>Bakanlık denet günü (itü-delmar eğitim merkezi)</t>
  </si>
  <si>
    <t>Bakanlık denet ve seyir/ekipman tanıtımı (itü-delmar eğitim merkezi)</t>
  </si>
  <si>
    <t>Tesis adına bulgu ve ilgili ekipman denet raporu hazırlığı (kalite koordinatörlüğüne teslim)</t>
  </si>
  <si>
    <t>6 saat</t>
  </si>
  <si>
    <t>Temel Bilimler Bölümü - akademik veri toplama ve rapor hazırlığı</t>
  </si>
  <si>
    <t>Havuz dersleri sınavları için derslik planlama</t>
  </si>
  <si>
    <t>Simülatör Anlatımı</t>
  </si>
  <si>
    <t>&lt;1 saat</t>
  </si>
  <si>
    <t>&gt;2 saat</t>
  </si>
  <si>
    <t xml:space="preserve">ERS I </t>
  </si>
  <si>
    <t>1 ders</t>
  </si>
  <si>
    <t>DUM 461E, DUM 505, MMD 311E (Fırat Bolat yerine)</t>
  </si>
  <si>
    <t>3 ders</t>
  </si>
  <si>
    <t>ERS 1 (İsmail Çiçek yerine)</t>
  </si>
  <si>
    <t>Her araştırma görevlisine görevler adil verilmeli.</t>
  </si>
  <si>
    <t xml:space="preserve">CMP 111 (Çağlar Karatuğ yerine) </t>
  </si>
  <si>
    <t>*</t>
  </si>
  <si>
    <t>6 adet</t>
  </si>
  <si>
    <t>Pearson Görevlendirmesi-Asistanlık</t>
  </si>
  <si>
    <t>Pearson Görevlendirmesi-Asistanlık (Sabire Cömert)</t>
  </si>
  <si>
    <t>Pearson Görevlendirmesi-Asistanlık (B. Barış Kızılsaç)</t>
  </si>
  <si>
    <t>Toplantı (İTÜ E-Bülten çalışmaları) (Rektör Yrd. ile)</t>
  </si>
  <si>
    <t>Fakülte için DELMAR filikası ile eğitim verildi.</t>
  </si>
  <si>
    <t>Bakanlık denet günü</t>
  </si>
  <si>
    <t>Not Komisyonu evrakları (ABET)</t>
  </si>
  <si>
    <t>Tersane grevlendirmesi</t>
  </si>
  <si>
    <t>Kariyer Günleri (yoklama)</t>
  </si>
  <si>
    <t>1 Hafta</t>
  </si>
  <si>
    <t>3-7 Ekim 2025</t>
  </si>
  <si>
    <t>Kariyer günleri (yoklama)</t>
  </si>
  <si>
    <t>Kariyer günleri (tüm gün)</t>
  </si>
  <si>
    <t>HUK213 ara sınavı (Ayazağa)</t>
  </si>
  <si>
    <t>1.5 saat</t>
  </si>
  <si>
    <t>4 puan</t>
  </si>
  <si>
    <t>20-23 Ekim 2025 izinli</t>
  </si>
  <si>
    <t>Tuzla haftasonu 1 sınav (MAT103)</t>
  </si>
  <si>
    <t>Tuzla haftaiçi 1 sınav (Gemi Elektrotekniği)</t>
  </si>
  <si>
    <t>Kariyer günleri (3-7 Kasım 2025)</t>
  </si>
  <si>
    <t>Tuzla haftasonu 1 sınav (FIZ101)</t>
  </si>
  <si>
    <t>Toplantı (GMİM-Lisansüstü)</t>
  </si>
  <si>
    <t>Tuzla haftaiçi 1 sınav (Atölye)</t>
  </si>
  <si>
    <t>18.00</t>
  </si>
  <si>
    <t>Tasarım Projesi Komisyonu</t>
  </si>
  <si>
    <t>GMİM YL KOMİSYONU</t>
  </si>
  <si>
    <t>Her hafta toplantı yapılmaktadır.</t>
  </si>
  <si>
    <t>Düzenli olarak toplantılar yapılacaktır.</t>
  </si>
  <si>
    <t>Atölye (her pazartesi)</t>
  </si>
  <si>
    <t>Atölye dersini asiste etmektedir.</t>
  </si>
  <si>
    <t>Malzeme Bilgisi</t>
  </si>
  <si>
    <t>Salı 13:30</t>
  </si>
  <si>
    <t>Atölye</t>
  </si>
  <si>
    <t>ERS I dersini verecek. (Her Cuma)</t>
  </si>
  <si>
    <t>MÜDEK</t>
  </si>
  <si>
    <t>Toplantı (Burs Komisyonu)</t>
  </si>
  <si>
    <t>GMI 324 ders asiste etme</t>
  </si>
  <si>
    <t>YARI DÖNEM</t>
  </si>
  <si>
    <t>PAZARTESİ</t>
  </si>
  <si>
    <t>SALI</t>
  </si>
  <si>
    <t>ÇARŞAMBA</t>
  </si>
  <si>
    <t>PERŞEMBE</t>
  </si>
  <si>
    <t>CUMA</t>
  </si>
  <si>
    <t>0830/1130ERS1</t>
  </si>
  <si>
    <t>0830/1730 Atölye</t>
  </si>
  <si>
    <t>0830/1130 GMI 384E ve 1330/1530 GMI 324E</t>
  </si>
  <si>
    <t>0830/1130 GMI 454 ve 0830/1730 GMI 324</t>
  </si>
  <si>
    <t>TEKNOPARK GÖREVİ</t>
  </si>
  <si>
    <t>1330/1530 Malzeme Bilgisi</t>
  </si>
  <si>
    <t>MASLAK DERS</t>
  </si>
  <si>
    <t>YTÜ DERS</t>
  </si>
  <si>
    <t>Tuzla haftaiçi 1 sınav (Çağlar Hoca)</t>
  </si>
  <si>
    <t>Tuzla haftasonu 1 sınav (FIZ 101)</t>
  </si>
  <si>
    <t>Tuzla haftaiçi 1 sınav (Emre Hoca)</t>
  </si>
  <si>
    <t>4-5 saat</t>
  </si>
  <si>
    <t>4 ders</t>
  </si>
  <si>
    <t>20 Puan</t>
  </si>
  <si>
    <t>kıbrıs</t>
  </si>
  <si>
    <t>Dr.Ar. Gör Ders verme</t>
  </si>
  <si>
    <t>Ders yedekleme (Tek seferlik)</t>
  </si>
  <si>
    <t xml:space="preserve">1 dönem ders asiste etmek </t>
  </si>
  <si>
    <t>Toplantı (Tasarım Projeleri) (1800'a kadar)</t>
  </si>
  <si>
    <t>5-6 Ağustos 2025</t>
  </si>
  <si>
    <t>Tuzla haftaiçi 1 sınav (Kariyer günleri)-mesai dışı</t>
  </si>
  <si>
    <t>Ders yedekleme (Tek seferlik)-Toprak Oba yerine</t>
  </si>
  <si>
    <t>Uzun staj için öğrenci beyanlarının kontrolü</t>
  </si>
  <si>
    <t>Ders yedekleme (Tek seferlik)-Samet Biçen yerine</t>
  </si>
  <si>
    <t>Tuzla haftaiçi 1 sınav (Buhar kazanları)</t>
  </si>
  <si>
    <t>Tuzla haftaiçi 1 sınav (mesai dışı)</t>
  </si>
  <si>
    <t xml:space="preserve">Tuzla haftaiçi 1 sınav </t>
  </si>
  <si>
    <t>Tuzla haftasonu 1 sınav (havuz dersleri)</t>
  </si>
  <si>
    <t>Tuzla haftaiçi 1 sınav (Stabilite-Emre Hoca)</t>
  </si>
  <si>
    <t>Tuzla haftaiçi 1 sınav (MEK205E-Zuhal Er)</t>
  </si>
  <si>
    <t>Tuzla haftaiçi 1 sınav (Buhar kazanları-Veysi Başhan)</t>
  </si>
  <si>
    <t>Tuzla haftaiçi 1 sınav (Ref and HVAC-Veysi Başhan)</t>
  </si>
  <si>
    <t>Tuzla haftasonu 1 sınav (KIM101)</t>
  </si>
  <si>
    <t>Asiste Edilen Ders Programı</t>
  </si>
  <si>
    <t>Seyit Onbaşı gemisi staj kabul esaslarının belirlenmesi</t>
  </si>
  <si>
    <t xml:space="preserve">13:30-15:00 </t>
  </si>
  <si>
    <t>11:00 - 12:30</t>
  </si>
  <si>
    <t>GMİM Stajlarının akış şeması oluşturma</t>
  </si>
  <si>
    <t>Toplantı (Staj Komisyonu)</t>
  </si>
  <si>
    <t>15:30 - 16:30</t>
  </si>
  <si>
    <t>10:00 - 12:00</t>
  </si>
  <si>
    <t>Tuzla haftaiçi 1 sınav (Burak Zincir)</t>
  </si>
  <si>
    <t>Tuzla haftaiçi 1 sınav (Cengiz Deniz-Burak Zincir) 16:00</t>
  </si>
  <si>
    <t>Tuzla haftaiçi 1 sınav (Stabilite-Emre Kahramanoğlu)</t>
  </si>
  <si>
    <t>Tasarım Projeleri poster hazırlama (1 adet)</t>
  </si>
  <si>
    <t>Tasarım Projeleri poster hazırlama (2 adet)</t>
  </si>
  <si>
    <t>ARGÖR DAİMİ GÖREVLERİ</t>
  </si>
  <si>
    <t>Ad-Soyadı</t>
  </si>
  <si>
    <t>Begüm Doganay</t>
  </si>
  <si>
    <t>1. Kalite Komisyonu</t>
  </si>
  <si>
    <t>1. NATO'da görevli</t>
  </si>
  <si>
    <t>2. Simülatör yardımcıılığı</t>
  </si>
  <si>
    <t>3. İTÜ DF Makine Ar.Gör.Temsilciliği</t>
  </si>
  <si>
    <t>4. Liman Komisyonu</t>
  </si>
  <si>
    <t>5. Not Komisyonu</t>
  </si>
  <si>
    <t>7. 2.Sınıf amiri</t>
  </si>
  <si>
    <t>Fatih Nacar</t>
  </si>
  <si>
    <t>2. Staj Komisyonu</t>
  </si>
  <si>
    <t>3. Liman Komisyonu</t>
  </si>
  <si>
    <t>4. Not Komisyonu</t>
  </si>
  <si>
    <t>5. 3.Sınıf amiri</t>
  </si>
  <si>
    <t>Merve Gül Çıvgın</t>
  </si>
  <si>
    <t>1. Burs Komisyonu</t>
  </si>
  <si>
    <t>2. Simülatör Sorumlusu</t>
  </si>
  <si>
    <t>3. SEM</t>
  </si>
  <si>
    <t>Muhittin Orhan</t>
  </si>
  <si>
    <t>1. İTÜ df kalite ve çevre komisyonu</t>
  </si>
  <si>
    <t>2. Temel bilimler için kalite koordinatörü</t>
  </si>
  <si>
    <t xml:space="preserve">3. İTÜ DF adına yıllık e-bülten hazırlanma </t>
  </si>
  <si>
    <t>4. Temel bilimler bölümü ar gör temsilciği</t>
  </si>
  <si>
    <t xml:space="preserve">5. İTÜ-DELMAR denizde canlı kalma eğitim merkezi koordinatörlüğü </t>
  </si>
  <si>
    <t>6. Pearson Sisteminde görevli (Matematik)</t>
  </si>
  <si>
    <t>1. Liman Komisyonu</t>
  </si>
  <si>
    <t>2. Not Komisyonu</t>
  </si>
  <si>
    <t>3. Simülatör yardımcıılığı</t>
  </si>
  <si>
    <t>1. Her Cuma Teknopark görevi</t>
  </si>
  <si>
    <t>DERS PROGRAMI</t>
  </si>
  <si>
    <t>2. Liman Komisyonu</t>
  </si>
  <si>
    <t>3. Not Komisyonu</t>
  </si>
  <si>
    <t>1. Not Komisyonu</t>
  </si>
  <si>
    <t>3. 1. Sınıf amiri</t>
  </si>
  <si>
    <t>4. Pearson Sisteminde görevli (Kimya)</t>
  </si>
  <si>
    <t>Tuzla haftaiçi 1 sınav (Sabire Cömert)</t>
  </si>
  <si>
    <t xml:space="preserve"> </t>
  </si>
  <si>
    <t>Toplantı (saat başına ve yoğunluğuna göre)</t>
  </si>
  <si>
    <t xml:space="preserve">GMİM atölye stajı akış diyagramı oluşturma </t>
  </si>
  <si>
    <t>20:00 - 22:15</t>
  </si>
  <si>
    <t>Staj komisyonu</t>
  </si>
  <si>
    <t>15:30-18:00</t>
  </si>
  <si>
    <t>14:00-16:30</t>
  </si>
  <si>
    <t>Ders yedekleme (Denizde Güvenlik)-Sinan Çakır</t>
  </si>
  <si>
    <t>Tuzla haftaiçi 1 sınav (Aydın Mert-MATLAB)</t>
  </si>
  <si>
    <t>1 Aralık 2025 Salı günleri kontrole gidiyor</t>
  </si>
  <si>
    <t>Tuzla haftaiçi 1 sınav (Yalçın Durmuşoğlu)</t>
  </si>
  <si>
    <t xml:space="preserve"> 12:00-13:30 </t>
  </si>
  <si>
    <t>GMİM YL Komisyonu</t>
  </si>
  <si>
    <t>Tuzla haftaiçi 3 sınav (Atölye-Çağlar Karatuğ)</t>
  </si>
  <si>
    <t>3 sınav</t>
  </si>
  <si>
    <t>75dk</t>
  </si>
  <si>
    <t>Tuzla haftaiçi 1 sınav (Hakan Demirel)</t>
  </si>
  <si>
    <t>Hurdaya gidecek malzemelerin sayımı ve tespiti</t>
  </si>
  <si>
    <t>13:30-14:00</t>
  </si>
  <si>
    <t>GMIM Lisansüstü 1000-1200</t>
  </si>
  <si>
    <t>1 adet</t>
  </si>
  <si>
    <t>GMIM-YL Ders Katalog Formu Hazırlama</t>
  </si>
  <si>
    <t xml:space="preserve">Tasarım Projeleri poster revize </t>
  </si>
  <si>
    <t>6. GMIM Lisansüstü</t>
  </si>
  <si>
    <t>4. GMIM Lisansüstü</t>
  </si>
  <si>
    <t>5. ERS I dersini verecek. (Cuma)</t>
  </si>
  <si>
    <t>4-5 Aralık 2025 izinli</t>
  </si>
  <si>
    <t>Tuzla haftaiçi 1 sınav (Emre Kahramanoğlu)</t>
  </si>
  <si>
    <t>Tuzla haftaiçi 1 sınav (Yeterlik Sınavı)</t>
  </si>
  <si>
    <t>2026 Bahar ders programı işleri</t>
  </si>
  <si>
    <t>Atöyle stajı akış diyagramı revize</t>
  </si>
  <si>
    <t>15:30-17:00</t>
  </si>
  <si>
    <t>17-18 Aralık 2025 izinli</t>
  </si>
  <si>
    <t>Sıra</t>
  </si>
  <si>
    <t>Uzakyol stajı akış şeması oluşturma</t>
  </si>
  <si>
    <t>Tuzla haftaiçi 1 sınav (Samet Biçen)</t>
  </si>
  <si>
    <t>45 dk</t>
  </si>
  <si>
    <t>08:00-11:00</t>
  </si>
  <si>
    <t>08:30-10:00</t>
  </si>
  <si>
    <t>7. 4.sınıf amiri</t>
  </si>
  <si>
    <t>16:00-16:30</t>
  </si>
  <si>
    <t>Tuzla haftaiçi 1 sınav (Cengiz Deniz-Burak Zincir)</t>
  </si>
  <si>
    <t>Tuzla haftaiçi 1 sınav (Çağlar Karatuğ)</t>
  </si>
  <si>
    <t>14:00-16:00</t>
  </si>
  <si>
    <t>Lisans bitirme tezi (1 adet)</t>
  </si>
  <si>
    <t>17 Aralık 2025 Çarşamba</t>
  </si>
  <si>
    <t>Tuzla haftaiçi (Yeterlik sınavı)</t>
  </si>
  <si>
    <t>14:00-18:00</t>
  </si>
  <si>
    <t>Fakülte</t>
  </si>
  <si>
    <t>Bölüm</t>
  </si>
  <si>
    <t>İsim</t>
  </si>
  <si>
    <t>Cep Telefonu</t>
  </si>
  <si>
    <t>DZ</t>
  </si>
  <si>
    <t>GMI</t>
  </si>
  <si>
    <t>coskunm19@itu.edu.tr</t>
  </si>
  <si>
    <t>sbicen@itu.edu.tr</t>
  </si>
  <si>
    <t>orhanm17@itu.edu.tr</t>
  </si>
  <si>
    <t>gulmezr@itu.edu.tr</t>
  </si>
  <si>
    <t>gulme@itu.edu.tr</t>
  </si>
  <si>
    <t>nacar16@itu.edu.tr</t>
  </si>
  <si>
    <t>ymutlu@itu.edu.tr</t>
  </si>
  <si>
    <t>E-posta</t>
  </si>
  <si>
    <t>Ö. Berkehan İNAL</t>
  </si>
  <si>
    <t>doganaybe@itu.edu.tr</t>
  </si>
  <si>
    <t>cenkkaya@itu.edu.tr</t>
  </si>
  <si>
    <t>inalo@itu.edu.tr</t>
  </si>
  <si>
    <t>Tuzla haftaiçi 1 sınav (havuz dersleri)</t>
  </si>
  <si>
    <t>Tuzla haftaiçi 1 sınav (MAT)</t>
  </si>
  <si>
    <t>09:00-11:00</t>
  </si>
  <si>
    <t>Tuzla haftaiçi 1 sınav (FIZ101)</t>
  </si>
  <si>
    <t>15:00 - 15:30</t>
  </si>
  <si>
    <t>15:45-16:15</t>
  </si>
  <si>
    <t>15:00-15:30</t>
  </si>
  <si>
    <t>10:00-12:15</t>
  </si>
  <si>
    <t>Toplantı (GMİM-Lisansüstü) tutanak hazırlama</t>
  </si>
  <si>
    <t>8 adet</t>
  </si>
  <si>
    <t>18:00-19:00</t>
  </si>
  <si>
    <t>2025 yılı faaliyet raporu hazırlama</t>
  </si>
  <si>
    <t xml:space="preserve">Final Sınavları Derslik Atamaları </t>
  </si>
  <si>
    <t>08:00-12:30</t>
  </si>
  <si>
    <t>20:00-21:00</t>
  </si>
  <si>
    <t>08:30-09:30</t>
  </si>
  <si>
    <t>14:00-14:30</t>
  </si>
  <si>
    <t>Final Gözetmen atama</t>
  </si>
  <si>
    <t>19:00-22:30</t>
  </si>
  <si>
    <t>12:00-14:00</t>
  </si>
  <si>
    <t>Tuzla haftaiçi 1 sınav (Veysi Başhan)</t>
  </si>
  <si>
    <t>15:00-17:00</t>
  </si>
  <si>
    <t>Tuzla haftaiçi 1 sınav (Seçkin Mengeçin)</t>
  </si>
  <si>
    <t>Tuzla haftaiçi 1 sınav (Fırat Bolat)</t>
  </si>
  <si>
    <t>Tuzla haftaiçi 1 sınav (Tayfun Uyanık)</t>
  </si>
  <si>
    <t>Tuzla haftaiçi 1 sınav (MAT103)</t>
  </si>
  <si>
    <t>Tuzla haftasonu 1 sınav (Seçkin Mengeçin)</t>
  </si>
  <si>
    <t>17:30-19:00</t>
  </si>
  <si>
    <t>10:30-14:30</t>
  </si>
  <si>
    <t>Temel Bilimler Bölümü 2025 faaliyet değerlendirme + kalite raporlarının hazırlanması</t>
  </si>
  <si>
    <t>Tuzla haftaiçi 1 sınav (KIM)</t>
  </si>
  <si>
    <t>Tuzla haftaiçi 1 sınav (Ata Bilgili)</t>
  </si>
  <si>
    <t>Tuzla haftaiçi 1 sınav (Zuhal Er)</t>
  </si>
  <si>
    <t>Tuzla haftasonu 1 sınav (Sabire Cömert)</t>
  </si>
  <si>
    <t>Tuzla haftaiçi 1 sınav (Aydın Mert)</t>
  </si>
  <si>
    <t>Tuzla haftasonu 1 sınav (Banu Tansel)</t>
  </si>
  <si>
    <t>Tuzla haftasonu 1 sınav (Zuhal Er)</t>
  </si>
  <si>
    <t>Tuzla haftasonu 1 sınav (Cengiz Deniz)</t>
  </si>
  <si>
    <t>Tuzla haftaiçi 1 sınav (Kadir Çiçek)</t>
  </si>
  <si>
    <t>Tuzla haftasonu 1 sınav (Hakan Demirel)</t>
  </si>
  <si>
    <t>Tuzla haftasonu 1 sınav (Kemal Demirel)</t>
  </si>
  <si>
    <t>09:00-12:00
19:00-00:30</t>
  </si>
  <si>
    <t>Tuzla haftaiçi 1 sınav (Sinan Çakır)</t>
  </si>
  <si>
    <t>Tuzla haftasonu 1 sınav (Burak Zincir-Cengiz Deniz)</t>
  </si>
  <si>
    <t>Tuzla haftasonu 1 sınav (Çağlar Karatuğ)</t>
  </si>
  <si>
    <t>Toplantı (Final Programı)</t>
  </si>
  <si>
    <t>Final Sınavları işleri</t>
  </si>
  <si>
    <t>12:00-13:15</t>
  </si>
  <si>
    <t>19:30-20:00</t>
  </si>
  <si>
    <t>30 dk</t>
  </si>
  <si>
    <t>Dersliklere asılmak üzere derslik final takvimi hazırlama</t>
  </si>
  <si>
    <t>21:30-22:30</t>
  </si>
  <si>
    <t>tüm dönem</t>
  </si>
  <si>
    <t>MATHAVUZ, VF girişlerinin belirlenmesi</t>
  </si>
  <si>
    <t>Temel Bilimler Bölümü Birim İç Değerlendirme Raporu Hazırlığı</t>
  </si>
  <si>
    <t>16:30-18:30</t>
  </si>
  <si>
    <t>10 Aralık 2025 15:30 Bölüm kuruluna herkes geldiği için kimseye puan verilmedi.</t>
  </si>
  <si>
    <t>Final Programı revize</t>
  </si>
  <si>
    <t>4. Staj Komisyonu</t>
  </si>
  <si>
    <t>20:00-22:00</t>
  </si>
  <si>
    <t>MEK</t>
  </si>
  <si>
    <t>205E</t>
  </si>
  <si>
    <t>Engineering Mechanics</t>
  </si>
  <si>
    <t>Banu Tansel Büyükçelebi</t>
  </si>
  <si>
    <t>Cumartesi</t>
  </si>
  <si>
    <t>*1.dönem bu sınavda güverteye 1 argör borç verildi. 2.dönem haftasonu sınavında güverteden 1 argör fazla yazılacak.</t>
  </si>
  <si>
    <t>5 Ocak 2026 izinli</t>
  </si>
  <si>
    <t>Toplantı (Bahar Dönemi Ders Prog Hk.)</t>
  </si>
  <si>
    <t>13:45-14:15</t>
  </si>
  <si>
    <t>Staj işleri (Seyit Onbaşı)</t>
  </si>
  <si>
    <t>BİDR rapor</t>
  </si>
  <si>
    <t>14:00-15:00</t>
  </si>
  <si>
    <t>11:40-13:50</t>
  </si>
  <si>
    <t>ABET (Müjgan Özenir)</t>
  </si>
  <si>
    <t>14:30-15:50</t>
  </si>
  <si>
    <t>7 kişi</t>
  </si>
  <si>
    <t>Tuzla haftaiçi 1 sınav (kendi sınavı)</t>
  </si>
  <si>
    <t>11:00-12:55</t>
  </si>
  <si>
    <t>ABET rapor hazırlama</t>
  </si>
  <si>
    <t>10:30-11:00</t>
  </si>
  <si>
    <t>ABET için soru sayımı (Cengiz Deniz)</t>
  </si>
  <si>
    <t>10:00-11:45</t>
  </si>
  <si>
    <t>Staj Bilgilendirme Toplantısı</t>
  </si>
  <si>
    <t>2025 yılı faaliyet raporu revize</t>
  </si>
  <si>
    <t>2 ders</t>
  </si>
  <si>
    <t xml:space="preserve">ABET rapor hazırlama </t>
  </si>
  <si>
    <t>ABET dosyaları düzeneleme, toplama</t>
  </si>
  <si>
    <t>Simülatör anlatımı</t>
  </si>
  <si>
    <t>10:00-10:45</t>
  </si>
  <si>
    <t>7 ders</t>
  </si>
  <si>
    <t>14:30-15:00</t>
  </si>
  <si>
    <t>Simülatör tanıtımı (BOTAŞ)</t>
  </si>
  <si>
    <t>5 ders</t>
  </si>
  <si>
    <t>6 ders</t>
  </si>
  <si>
    <t>ABET (Sinan Çakır)</t>
  </si>
  <si>
    <t>Derslikllerin altyapı kontrolü</t>
  </si>
  <si>
    <t>10:45-12:00</t>
  </si>
  <si>
    <t>Toplantı (Derslik planlaması)</t>
  </si>
  <si>
    <t>Bahar dönemi derslik ataması</t>
  </si>
  <si>
    <t xml:space="preserve"> 20:00-22:45</t>
  </si>
  <si>
    <t>08:30-10:30</t>
  </si>
  <si>
    <t>Derslik planlaması</t>
  </si>
  <si>
    <t>10:30-12:30</t>
  </si>
  <si>
    <t>Erasmus öğrencilerinin ders programlarının oluşturulması</t>
  </si>
  <si>
    <t>11:15-12:15</t>
  </si>
  <si>
    <t>13:45-14:30</t>
  </si>
  <si>
    <t>Evrak incelene</t>
  </si>
  <si>
    <t>15:00-16:45</t>
  </si>
  <si>
    <t>Erasmus öğrencilerinin ders programları revize</t>
  </si>
  <si>
    <t>Evrak oluşturma (Denizci Eğitici Bel.)</t>
  </si>
  <si>
    <t>10:00-12:00</t>
  </si>
  <si>
    <t>Ders kayıt işleri</t>
  </si>
  <si>
    <t>15:00-16:00</t>
  </si>
  <si>
    <t xml:space="preserve">Yalçın hoca final hazırlığı </t>
  </si>
  <si>
    <t>15:00- 16:00</t>
  </si>
  <si>
    <t xml:space="preserve">Çağlar hoca final hazırlığı </t>
  </si>
  <si>
    <t xml:space="preserve">GMI 320E-Ship Construction and Stability </t>
  </si>
  <si>
    <t>BAHAR DÖNEMİ</t>
  </si>
  <si>
    <t>GÜZ DÖNEMİ Ders Programı</t>
  </si>
  <si>
    <t>BAHAR DÖNEMİ Ders Programı</t>
  </si>
  <si>
    <t>1130/1330</t>
  </si>
  <si>
    <t>DUI 405</t>
  </si>
  <si>
    <t>Gemi Makineleri</t>
  </si>
  <si>
    <t>Pazartesi</t>
  </si>
  <si>
    <t>GMI 484E</t>
  </si>
  <si>
    <t>ERS II</t>
  </si>
  <si>
    <t>1430/1730</t>
  </si>
  <si>
    <t>1230/1530</t>
  </si>
  <si>
    <t>0830/1129</t>
  </si>
  <si>
    <t>ERASMUS sunum hazırlama</t>
  </si>
  <si>
    <t>19:00-21:30</t>
  </si>
  <si>
    <t>GMI 223 Makine Elemanları</t>
  </si>
  <si>
    <t>1 DERS</t>
  </si>
  <si>
    <t>"1. DUI 405 GEMİ MAKİNALARI 1130/1330
2. GMI484E ERS II 1430/1730"</t>
  </si>
  <si>
    <t>"1. GMI484E ERS II 0830/1130
2. GMI484E ERS II 1230/1530"</t>
  </si>
  <si>
    <t>Teknopark görevlendirmesi (08:30 - 17:30)</t>
  </si>
  <si>
    <t>YTÜ doktora dersleri</t>
  </si>
  <si>
    <t>"GMI 320E - Ship 
Construction
 And Stability "</t>
  </si>
  <si>
    <t>Toplantı (ArGör)</t>
  </si>
  <si>
    <t>14:30-15:15</t>
  </si>
  <si>
    <t>15:30-16:00</t>
  </si>
  <si>
    <t>Bakanlık Deneti</t>
  </si>
  <si>
    <t>0930-1200</t>
  </si>
  <si>
    <t>15:30-16:15</t>
  </si>
  <si>
    <t>Toplantı (IMHFC)</t>
  </si>
  <si>
    <t>11:00-12:00</t>
  </si>
  <si>
    <t>IMHFC arayüz hazırlığı</t>
  </si>
  <si>
    <t>Tören yoklama</t>
  </si>
  <si>
    <t>0930-1230</t>
  </si>
  <si>
    <t>1400-1500</t>
  </si>
  <si>
    <t>IMHFC sosyal medya metinleri hazırlandı</t>
  </si>
  <si>
    <t>1 NİSAN 2026 YURTDIŞINA GİDİYOR</t>
  </si>
  <si>
    <t>1 NİSAN'A KADAR İZİNLİ</t>
  </si>
  <si>
    <t>İç Tetkik</t>
  </si>
  <si>
    <t>Fakülte kurum dışına görevlendirme</t>
  </si>
  <si>
    <t>1 Temmuz Mezuniyet Töreni Koordinatörlüğü</t>
  </si>
  <si>
    <t>Staj Esas Güncelleme</t>
  </si>
  <si>
    <t>İç Tetkik yapmadı.</t>
  </si>
  <si>
    <t>Teknopark görevlendirme</t>
  </si>
  <si>
    <t>Erasmus</t>
  </si>
  <si>
    <t>25.03.2026 Liman komisyonuna katılmadı.</t>
  </si>
  <si>
    <t>Tuzla haftasonu 1 sınav (ATA)</t>
  </si>
  <si>
    <t>1430-1630</t>
  </si>
  <si>
    <t>Tuzla haftasonu 1 sınav (MAT104E)</t>
  </si>
  <si>
    <t>1000-1200</t>
  </si>
  <si>
    <t>1400-1600</t>
  </si>
  <si>
    <t>Tuzla haftasonu 1 sınav (MAT103E)</t>
  </si>
  <si>
    <t>Tuzla haftaiçi 1 sınav (Yalçın Durmuşoğku)</t>
  </si>
  <si>
    <t>1200-1300</t>
  </si>
  <si>
    <t>IMHFC revizyon</t>
  </si>
  <si>
    <t>45dk</t>
  </si>
  <si>
    <t>Ders yedekleme (Tek seferlik)-Cengiz Deniz</t>
  </si>
  <si>
    <t>1230-1530</t>
  </si>
  <si>
    <t>Tuzla haftaiçi 1 sınav (Müjgan Özenir)</t>
  </si>
  <si>
    <t>1500-1600</t>
  </si>
  <si>
    <t xml:space="preserve">IMHFC sosyal medya metinleri </t>
  </si>
  <si>
    <t>31.03.2026 Ayazağa'da</t>
  </si>
  <si>
    <t>Denizatı Görevlendirmesi</t>
  </si>
  <si>
    <t>TÜM DÖNEM</t>
  </si>
  <si>
    <t>Ders yedekleme (Tek seferlik)-Fırat Bolat</t>
  </si>
  <si>
    <t>Ders yedekleme (Tek seferlik)-Emre Karamanoğlu</t>
  </si>
  <si>
    <t>Ders yedekleme (Tek seferlik)-Hakan Demirel</t>
  </si>
  <si>
    <t>Ders yedekleme (Tek seferlik)-İsmail Çiçek</t>
  </si>
  <si>
    <t>Sertifika toplama düzeneleme</t>
  </si>
  <si>
    <t>02.04.2026 ders asiste etmeyi kabul etmedi</t>
  </si>
  <si>
    <t>4 Nisan Ayazağa'da</t>
  </si>
  <si>
    <t>06.04.2026 Okul gezisine görevlendirilmişti gitmemiş.</t>
  </si>
  <si>
    <t>6 Nisan'dan 9 Nisan'a kadar izinli</t>
  </si>
  <si>
    <t>Tuzla haftaiçi 1 sınav (Burak Zincir-Cengiz Deniz)</t>
  </si>
  <si>
    <t>22 Nisan'da izin alacakmış gözetmenliği reddetti.</t>
  </si>
  <si>
    <t>1000-1130</t>
  </si>
  <si>
    <t>7 Nisan 2026 Salı</t>
  </si>
  <si>
    <t>12:00-1230</t>
  </si>
  <si>
    <t>Tuzla haftaiçi 1 sınav (Mühendislik Matematiği)</t>
  </si>
  <si>
    <t>Tuzla haftasonu 1 sınav (KIM)</t>
  </si>
  <si>
    <t>Ders yedekleme (Tek seferlik)-Denizde Güvenlik</t>
  </si>
  <si>
    <t>Toplantı (2.sınıf amirlik)</t>
  </si>
  <si>
    <t>1530-1630</t>
  </si>
  <si>
    <t>1630-1730</t>
  </si>
  <si>
    <t>9 Nisan ArGör toplantısına gelmedi.</t>
  </si>
  <si>
    <t>1330-1500</t>
  </si>
  <si>
    <t>IMHFC sosyal medya metinleri-email</t>
  </si>
  <si>
    <t>2100-2130</t>
  </si>
  <si>
    <t>Tuzla haftaiçi 1 sınav (Melek Ertogan)</t>
  </si>
  <si>
    <t>0830-1030</t>
  </si>
  <si>
    <t>Toplantı (6.09)</t>
  </si>
  <si>
    <t>0900-1000</t>
  </si>
  <si>
    <t>1800-1900</t>
  </si>
  <si>
    <t>Toplantı (IMHFC)-(Fatih ve Esma Hoca ile birlikte)</t>
  </si>
  <si>
    <t>IMHFC</t>
  </si>
  <si>
    <t>Toplantı (Tasarım Projeleri Komisyonu)</t>
  </si>
  <si>
    <t>IMHFC invitation metinleri-email hazırlama</t>
  </si>
  <si>
    <t>19 Nisan ATA sınavına gelmeyecek Tarık ile değiştirdi.</t>
  </si>
  <si>
    <t>25 Nisan Fizik sınavına gelmeyecek, Sivas'a gidecekmiş</t>
  </si>
  <si>
    <t>25 Nisan Fizik sınavına gelmeyecek, oğlunu dişçiye götürecekmiş</t>
  </si>
  <si>
    <t>Tuzla haftasonu 1 sınav (FIZ)</t>
  </si>
  <si>
    <t>1500-1630</t>
  </si>
  <si>
    <t>16.04.2026 Argör toplantısına katılmadı.</t>
  </si>
  <si>
    <t>1330-1430</t>
  </si>
  <si>
    <t>2230-2320</t>
  </si>
  <si>
    <t>1330-1400</t>
  </si>
  <si>
    <t>1430-1500</t>
  </si>
  <si>
    <t>KIM101E</t>
  </si>
  <si>
    <t>Yasin Arslanoğlu</t>
  </si>
  <si>
    <t>Makineden girildi</t>
  </si>
  <si>
    <t>25.04.2026 Fizik Sınavı için 1 kişi güverteden talep edildi.</t>
  </si>
  <si>
    <t>1630-1715</t>
  </si>
  <si>
    <t>IMHFC partnerlere mail hazırlama yollama</t>
  </si>
  <si>
    <t>0900-1100</t>
  </si>
  <si>
    <t>0930-1130</t>
  </si>
  <si>
    <t>Ders yedekleme (Tek seferlik)-Samet Biçen</t>
  </si>
  <si>
    <t>1000-1100</t>
  </si>
  <si>
    <t>27 Nisan 2026 Pazartesi</t>
  </si>
  <si>
    <t>IMHFC partnerlre mail, sosyal medya</t>
  </si>
  <si>
    <t>27 Nisan 2026 yurtdışından geldi</t>
  </si>
  <si>
    <t>Final sınavları derslik atama</t>
  </si>
  <si>
    <t>0830-0930</t>
  </si>
  <si>
    <t>Toplantı (Final Derslik atama)- Esma Hoca ile</t>
  </si>
  <si>
    <t>Tuzla haftaiçi 1 sınav (Yasin Arslanoğlu)</t>
  </si>
  <si>
    <t>0930-1020</t>
  </si>
  <si>
    <t>75 dk</t>
  </si>
  <si>
    <t>Tuzla haftaiçi 1 sınav (havuz dersleri)-FIZ102</t>
  </si>
  <si>
    <t>Tuzla haftaiçi 1 sınav (havuz dersleri)-MAT104</t>
  </si>
  <si>
    <t>Tuzla haftaiçi 1 sınav (havuz dersleri)-MAT103</t>
  </si>
  <si>
    <t>1500-1700</t>
  </si>
  <si>
    <t>1300-1330</t>
  </si>
  <si>
    <t>Mayıs 2025 Yurtdışına gitti</t>
  </si>
  <si>
    <t>1600-1630</t>
  </si>
  <si>
    <t>21 Mayıs ve 4 Haziran görev yazma</t>
  </si>
  <si>
    <t>0830-1000</t>
  </si>
  <si>
    <t>Toplantı (Esma Uflaz ile Final derslikleri hk.)</t>
  </si>
  <si>
    <t>1045-1200</t>
  </si>
  <si>
    <t>Final sınavları derslik atama kontrol</t>
  </si>
  <si>
    <t>7. Denizatı görevlendirmesi</t>
  </si>
  <si>
    <t>6. Denizatı görevlendirmesi</t>
  </si>
  <si>
    <t>5. Denizatı görevlendirmesi</t>
  </si>
  <si>
    <t>1530-1700</t>
  </si>
  <si>
    <t>1300-1400</t>
  </si>
  <si>
    <t>IMHFC mail, sosyal medya vs.</t>
  </si>
  <si>
    <t>Toplantı (ABET-Öğrenciler)</t>
  </si>
  <si>
    <t>Pearson (Sabire+Barış)</t>
  </si>
  <si>
    <t>GMI210-Titreşimin Temelleri</t>
  </si>
  <si>
    <t>Salı</t>
  </si>
  <si>
    <t>20.05.2026 Yeterlik sınavına müsait değilim dedi.</t>
  </si>
  <si>
    <t>19 Mayıs 2026 haftası izinli</t>
  </si>
  <si>
    <t xml:space="preserve">2 ders </t>
  </si>
  <si>
    <t>Ders yedekleme (Tek seferlik)-Ata Bilgili</t>
  </si>
  <si>
    <t xml:space="preserve"> staj gemisi planlama komisyonu</t>
  </si>
  <si>
    <t>Tuzla haftaiçi 1 sınav (Kemal Demirel)</t>
  </si>
  <si>
    <t>1200-1245</t>
  </si>
  <si>
    <t>Toplantı (IDO)</t>
  </si>
  <si>
    <t>1230-1330</t>
  </si>
  <si>
    <t>1130-1330</t>
  </si>
  <si>
    <t>Final programı hazırlanması</t>
  </si>
  <si>
    <t>Ders yedekleme (Tek seferlik)-Esma Uflaz</t>
  </si>
  <si>
    <t>Tuzla haftaiçi 1 sınav (Hakan Çap)</t>
  </si>
  <si>
    <t>1200-1400</t>
  </si>
  <si>
    <t>Tuzla haftaiçi 1 sınav (ATA I)</t>
  </si>
  <si>
    <t>Tuzla haftaiçi 1 sınav (İsmail Çiçek)</t>
  </si>
  <si>
    <t>Tuzla haftaiçi 1 sınav (Emrah Şık)</t>
  </si>
  <si>
    <t>Tuzla haftaiçi 1 sınav (Cengiz Deniz)</t>
  </si>
  <si>
    <t>2030-0030</t>
  </si>
  <si>
    <t>Tuzla haftaiçi 1 sınav (Orhan Gönel)</t>
  </si>
  <si>
    <t>1930-2200</t>
  </si>
  <si>
    <t>FİNAL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</si>
</sst>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2" x14ac:knownFonts="1">
    <font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charset val="16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theme="1"/>
      <name val="Times New Roman"/>
      <family val="1"/>
    </font>
    <font>
      <sz val="10"/>
      <color rgb="FF000000"/>
      <name val="Tahoma"/>
      <family val="2"/>
      <charset val="162"/>
    </font>
    <font>
      <b/>
      <sz val="10"/>
      <color rgb="FF000000"/>
      <name val="Tahoma"/>
      <family val="2"/>
      <charset val="162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rgb="FF000000"/>
      <name val="Times New Roman"/>
      <family val="1"/>
    </font>
    <font>
      <b/>
      <sz val="11"/>
      <color theme="5"/>
      <name val="Times New Roman"/>
      <family val="1"/>
    </font>
    <font>
      <b/>
      <sz val="12"/>
      <color theme="5"/>
      <name val="Times New Roman"/>
      <family val="1"/>
    </font>
    <font>
      <sz val="12"/>
      <color theme="1"/>
      <name val="Calibri"/>
      <family val="2"/>
      <scheme val="minor"/>
    </font>
    <font>
      <sz val="22"/>
      <color theme="0"/>
      <name val="Times New Roman"/>
      <family val="1"/>
    </font>
    <font>
      <sz val="12"/>
      <color theme="0"/>
      <name val="Times New Roman"/>
      <family val="1"/>
    </font>
    <font>
      <sz val="8"/>
      <name val="Calibri"/>
      <family val="2"/>
      <charset val="162"/>
      <scheme val="minor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rgb="FFFF0000"/>
      <name val="Calibri"/>
      <family val="2"/>
      <charset val="162"/>
      <scheme val="minor"/>
    </font>
    <font>
      <sz val="11"/>
      <color theme="1"/>
      <name val="Times New Roman"/>
      <family val="1"/>
      <charset val="162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</font>
    <font>
      <b/>
      <sz val="14"/>
      <color theme="1"/>
      <name val="Times New Roman"/>
      <family val="1"/>
    </font>
    <font>
      <sz val="8"/>
      <color theme="1"/>
      <name val="Times New Roman"/>
      <family val="1"/>
    </font>
    <font>
      <u/>
      <sz val="11"/>
      <color theme="1"/>
      <name val="Times New Roman"/>
      <family val="1"/>
      <charset val="16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/>
      <right/>
      <top style="thin">
        <color indexed="64"/>
      </top>
      <bottom style="thick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FF0000"/>
      </bottom>
      <diagonal/>
    </border>
    <border>
      <left/>
      <right style="thin">
        <color rgb="FF000000"/>
      </right>
      <top style="thin">
        <color rgb="FF000000"/>
      </top>
      <bottom style="thick">
        <color rgb="FFFF0000"/>
      </bottom>
      <diagonal/>
    </border>
    <border>
      <left style="thin">
        <color rgb="FF000000"/>
      </left>
      <right style="thin">
        <color rgb="FF000000"/>
      </right>
      <top/>
      <bottom style="thick">
        <color rgb="FFFF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9" fillId="0" borderId="0"/>
  </cellStyleXfs>
  <cellXfs count="32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4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5" fillId="0" borderId="5" xfId="1" applyFont="1" applyBorder="1"/>
    <xf numFmtId="0" fontId="4" fillId="0" borderId="6" xfId="0" applyFont="1" applyBorder="1"/>
    <xf numFmtId="0" fontId="5" fillId="0" borderId="7" xfId="1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0" fillId="0" borderId="0" xfId="0" applyFont="1"/>
    <xf numFmtId="0" fontId="11" fillId="0" borderId="0" xfId="0" applyFont="1"/>
    <xf numFmtId="0" fontId="4" fillId="0" borderId="2" xfId="2" applyFont="1" applyBorder="1" applyAlignment="1">
      <alignment horizontal="left"/>
    </xf>
    <xf numFmtId="0" fontId="3" fillId="0" borderId="4" xfId="2" applyFont="1" applyBorder="1" applyAlignment="1">
      <alignment horizontal="center"/>
    </xf>
    <xf numFmtId="0" fontId="4" fillId="0" borderId="14" xfId="2" applyFont="1" applyBorder="1" applyAlignment="1">
      <alignment horizontal="left"/>
    </xf>
    <xf numFmtId="0" fontId="3" fillId="0" borderId="15" xfId="2" applyFont="1" applyBorder="1" applyAlignment="1">
      <alignment horizontal="center"/>
    </xf>
    <xf numFmtId="0" fontId="4" fillId="0" borderId="5" xfId="2" applyFont="1" applyBorder="1" applyAlignment="1">
      <alignment horizontal="left"/>
    </xf>
    <xf numFmtId="0" fontId="3" fillId="0" borderId="6" xfId="2" applyFont="1" applyBorder="1" applyAlignment="1">
      <alignment horizontal="center"/>
    </xf>
    <xf numFmtId="0" fontId="4" fillId="0" borderId="16" xfId="2" applyFont="1" applyBorder="1" applyAlignment="1">
      <alignment horizontal="left"/>
    </xf>
    <xf numFmtId="0" fontId="3" fillId="0" borderId="17" xfId="2" applyFont="1" applyBorder="1" applyAlignment="1">
      <alignment horizontal="center"/>
    </xf>
    <xf numFmtId="0" fontId="3" fillId="0" borderId="11" xfId="2" applyFont="1" applyBorder="1" applyAlignment="1">
      <alignment horizontal="center"/>
    </xf>
    <xf numFmtId="16" fontId="4" fillId="0" borderId="5" xfId="2" applyNumberFormat="1" applyFont="1" applyBorder="1" applyAlignment="1">
      <alignment horizontal="left"/>
    </xf>
    <xf numFmtId="0" fontId="4" fillId="0" borderId="5" xfId="2" applyFont="1" applyBorder="1"/>
    <xf numFmtId="0" fontId="13" fillId="0" borderId="5" xfId="0" applyFont="1" applyBorder="1"/>
    <xf numFmtId="0" fontId="13" fillId="0" borderId="14" xfId="0" applyFont="1" applyBorder="1"/>
    <xf numFmtId="0" fontId="3" fillId="0" borderId="6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1" xfId="0" applyFont="1" applyBorder="1"/>
    <xf numFmtId="164" fontId="4" fillId="0" borderId="21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7" fillId="2" borderId="13" xfId="0" applyFont="1" applyFill="1" applyBorder="1" applyAlignment="1">
      <alignment horizontal="center"/>
    </xf>
    <xf numFmtId="164" fontId="16" fillId="4" borderId="1" xfId="0" applyNumberFormat="1" applyFont="1" applyFill="1" applyBorder="1"/>
    <xf numFmtId="0" fontId="0" fillId="4" borderId="1" xfId="0" applyFill="1" applyBorder="1" applyAlignment="1">
      <alignment horizontal="center"/>
    </xf>
    <xf numFmtId="164" fontId="4" fillId="4" borderId="21" xfId="0" applyNumberFormat="1" applyFont="1" applyFill="1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4" fillId="0" borderId="1" xfId="2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3" fillId="0" borderId="23" xfId="0" applyFont="1" applyBorder="1" applyAlignment="1">
      <alignment horizontal="center"/>
    </xf>
    <xf numFmtId="0" fontId="4" fillId="0" borderId="2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 vertical="center"/>
    </xf>
    <xf numFmtId="0" fontId="13" fillId="0" borderId="21" xfId="0" applyFont="1" applyBorder="1" applyAlignment="1">
      <alignment horizontal="left" vertical="center"/>
    </xf>
    <xf numFmtId="0" fontId="13" fillId="0" borderId="21" xfId="0" applyFont="1" applyBorder="1" applyAlignment="1">
      <alignment horizontal="center"/>
    </xf>
    <xf numFmtId="164" fontId="13" fillId="0" borderId="21" xfId="0" applyNumberFormat="1" applyFont="1" applyBorder="1" applyAlignment="1">
      <alignment horizontal="right" vertical="center"/>
    </xf>
    <xf numFmtId="0" fontId="13" fillId="0" borderId="21" xfId="0" applyFont="1" applyBorder="1" applyAlignment="1">
      <alignment horizontal="center" vertical="center"/>
    </xf>
    <xf numFmtId="164" fontId="13" fillId="4" borderId="21" xfId="0" applyNumberFormat="1" applyFont="1" applyFill="1" applyBorder="1" applyAlignment="1">
      <alignment horizontal="right" vertical="center"/>
    </xf>
    <xf numFmtId="0" fontId="13" fillId="0" borderId="24" xfId="0" applyFont="1" applyBorder="1" applyAlignment="1">
      <alignment horizontal="left" vertical="center"/>
    </xf>
    <xf numFmtId="0" fontId="13" fillId="0" borderId="25" xfId="0" applyFont="1" applyBorder="1" applyAlignment="1">
      <alignment horizontal="left" vertical="center"/>
    </xf>
    <xf numFmtId="0" fontId="4" fillId="0" borderId="21" xfId="0" applyFont="1" applyBorder="1" applyAlignment="1">
      <alignment horizontal="center"/>
    </xf>
    <xf numFmtId="164" fontId="4" fillId="0" borderId="21" xfId="0" applyNumberFormat="1" applyFont="1" applyBorder="1" applyAlignment="1">
      <alignment horizontal="right" vertical="center"/>
    </xf>
    <xf numFmtId="164" fontId="4" fillId="4" borderId="21" xfId="0" applyNumberFormat="1" applyFont="1" applyFill="1" applyBorder="1" applyAlignment="1">
      <alignment horizontal="right" vertical="center"/>
    </xf>
    <xf numFmtId="0" fontId="18" fillId="2" borderId="13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left" vertical="center"/>
    </xf>
    <xf numFmtId="164" fontId="4" fillId="0" borderId="1" xfId="0" applyNumberFormat="1" applyFont="1" applyBorder="1"/>
    <xf numFmtId="0" fontId="4" fillId="0" borderId="21" xfId="0" applyFont="1" applyBorder="1" applyAlignment="1">
      <alignment horizontal="center" vertical="center"/>
    </xf>
    <xf numFmtId="0" fontId="13" fillId="0" borderId="1" xfId="0" applyFont="1" applyBorder="1"/>
    <xf numFmtId="0" fontId="4" fillId="0" borderId="1" xfId="2" applyFont="1" applyBorder="1"/>
    <xf numFmtId="164" fontId="4" fillId="4" borderId="1" xfId="0" applyNumberFormat="1" applyFont="1" applyFill="1" applyBorder="1"/>
    <xf numFmtId="164" fontId="4" fillId="5" borderId="1" xfId="0" applyNumberFormat="1" applyFont="1" applyFill="1" applyBorder="1"/>
    <xf numFmtId="164" fontId="4" fillId="0" borderId="21" xfId="0" applyNumberFormat="1" applyFont="1" applyBorder="1"/>
    <xf numFmtId="0" fontId="18" fillId="2" borderId="13" xfId="0" applyFont="1" applyFill="1" applyBorder="1" applyAlignment="1">
      <alignment horizontal="center"/>
    </xf>
    <xf numFmtId="0" fontId="4" fillId="0" borderId="22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7" borderId="1" xfId="0" applyFont="1" applyFill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4" fillId="0" borderId="1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18" fontId="3" fillId="0" borderId="5" xfId="2" applyNumberFormat="1" applyFont="1" applyBorder="1" applyAlignment="1">
      <alignment horizontal="left"/>
    </xf>
    <xf numFmtId="0" fontId="14" fillId="0" borderId="5" xfId="2" applyFont="1" applyBorder="1" applyAlignment="1">
      <alignment horizontal="left" wrapText="1"/>
    </xf>
    <xf numFmtId="0" fontId="15" fillId="0" borderId="5" xfId="2" applyFont="1" applyBorder="1" applyAlignment="1">
      <alignment horizontal="left" wrapText="1"/>
    </xf>
    <xf numFmtId="0" fontId="3" fillId="0" borderId="5" xfId="2" applyFont="1" applyBorder="1" applyAlignment="1">
      <alignment horizontal="left" wrapText="1"/>
    </xf>
    <xf numFmtId="0" fontId="3" fillId="0" borderId="5" xfId="2" applyFont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164" fontId="4" fillId="4" borderId="1" xfId="0" applyNumberFormat="1" applyFont="1" applyFill="1" applyBorder="1" applyAlignment="1">
      <alignment horizontal="right"/>
    </xf>
    <xf numFmtId="0" fontId="4" fillId="8" borderId="1" xfId="0" applyFont="1" applyFill="1" applyBorder="1" applyAlignment="1">
      <alignment horizontal="left" vertical="center"/>
    </xf>
    <xf numFmtId="0" fontId="20" fillId="0" borderId="0" xfId="0" applyFont="1"/>
    <xf numFmtId="0" fontId="4" fillId="0" borderId="27" xfId="0" applyFont="1" applyBorder="1" applyAlignment="1">
      <alignment horizontal="left" vertical="center"/>
    </xf>
    <xf numFmtId="0" fontId="4" fillId="0" borderId="18" xfId="0" applyFont="1" applyBorder="1"/>
    <xf numFmtId="0" fontId="5" fillId="2" borderId="5" xfId="1" applyFont="1" applyFill="1" applyBorder="1"/>
    <xf numFmtId="0" fontId="4" fillId="2" borderId="1" xfId="0" applyFont="1" applyFill="1" applyBorder="1"/>
    <xf numFmtId="0" fontId="4" fillId="2" borderId="6" xfId="0" applyFont="1" applyFill="1" applyBorder="1"/>
    <xf numFmtId="164" fontId="4" fillId="0" borderId="0" xfId="0" applyNumberFormat="1" applyFont="1"/>
    <xf numFmtId="164" fontId="4" fillId="4" borderId="21" xfId="0" applyNumberFormat="1" applyFont="1" applyFill="1" applyBorder="1"/>
    <xf numFmtId="164" fontId="13" fillId="0" borderId="0" xfId="0" applyNumberFormat="1" applyFont="1"/>
    <xf numFmtId="0" fontId="13" fillId="0" borderId="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164" fontId="4" fillId="0" borderId="18" xfId="0" applyNumberFormat="1" applyFont="1" applyBorder="1" applyAlignment="1">
      <alignment horizontal="right" vertical="center"/>
    </xf>
    <xf numFmtId="0" fontId="4" fillId="0" borderId="20" xfId="0" applyFont="1" applyBorder="1"/>
    <xf numFmtId="0" fontId="4" fillId="0" borderId="20" xfId="0" applyFont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right" vertical="center"/>
    </xf>
    <xf numFmtId="20" fontId="4" fillId="0" borderId="0" xfId="0" applyNumberFormat="1" applyFont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4" fillId="0" borderId="25" xfId="0" applyFont="1" applyBorder="1"/>
    <xf numFmtId="0" fontId="4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4" fillId="0" borderId="28" xfId="0" applyFont="1" applyBorder="1"/>
    <xf numFmtId="0" fontId="4" fillId="0" borderId="28" xfId="0" applyFont="1" applyBorder="1" applyAlignment="1">
      <alignment horizontal="center" vertical="center"/>
    </xf>
    <xf numFmtId="164" fontId="4" fillId="0" borderId="28" xfId="0" applyNumberFormat="1" applyFont="1" applyBorder="1" applyAlignment="1">
      <alignment horizontal="right"/>
    </xf>
    <xf numFmtId="0" fontId="3" fillId="0" borderId="31" xfId="0" applyFont="1" applyBorder="1" applyAlignment="1">
      <alignment horizontal="center"/>
    </xf>
    <xf numFmtId="0" fontId="4" fillId="0" borderId="30" xfId="2" applyFont="1" applyBorder="1"/>
    <xf numFmtId="0" fontId="4" fillId="0" borderId="30" xfId="0" applyFont="1" applyBorder="1" applyAlignment="1">
      <alignment horizontal="center"/>
    </xf>
    <xf numFmtId="164" fontId="4" fillId="4" borderId="30" xfId="0" applyNumberFormat="1" applyFont="1" applyFill="1" applyBorder="1"/>
    <xf numFmtId="0" fontId="4" fillId="4" borderId="30" xfId="0" applyFont="1" applyFill="1" applyBorder="1" applyAlignment="1">
      <alignment horizontal="center"/>
    </xf>
    <xf numFmtId="0" fontId="3" fillId="0" borderId="28" xfId="0" applyFont="1" applyBorder="1" applyAlignment="1">
      <alignment horizontal="center"/>
    </xf>
    <xf numFmtId="164" fontId="4" fillId="0" borderId="28" xfId="0" applyNumberFormat="1" applyFont="1" applyBorder="1"/>
    <xf numFmtId="0" fontId="3" fillId="0" borderId="30" xfId="0" applyFont="1" applyBorder="1" applyAlignment="1">
      <alignment horizontal="center"/>
    </xf>
    <xf numFmtId="0" fontId="4" fillId="0" borderId="32" xfId="0" applyFont="1" applyBorder="1"/>
    <xf numFmtId="0" fontId="4" fillId="0" borderId="25" xfId="0" applyFont="1" applyBorder="1" applyAlignment="1">
      <alignment horizontal="center" vertical="center"/>
    </xf>
    <xf numFmtId="164" fontId="4" fillId="0" borderId="25" xfId="0" applyNumberFormat="1" applyFont="1" applyBorder="1" applyAlignment="1">
      <alignment horizontal="right"/>
    </xf>
    <xf numFmtId="0" fontId="4" fillId="0" borderId="33" xfId="0" applyFont="1" applyBorder="1"/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right"/>
    </xf>
    <xf numFmtId="0" fontId="13" fillId="0" borderId="25" xfId="0" applyFont="1" applyBorder="1" applyAlignment="1">
      <alignment horizontal="center"/>
    </xf>
    <xf numFmtId="164" fontId="13" fillId="0" borderId="25" xfId="0" applyNumberFormat="1" applyFont="1" applyBorder="1" applyAlignment="1">
      <alignment horizontal="right" vertical="center"/>
    </xf>
    <xf numFmtId="0" fontId="4" fillId="0" borderId="30" xfId="2" applyFont="1" applyBorder="1" applyAlignment="1">
      <alignment horizontal="left"/>
    </xf>
    <xf numFmtId="0" fontId="13" fillId="0" borderId="34" xfId="0" applyFont="1" applyBorder="1" applyAlignment="1">
      <alignment horizontal="center"/>
    </xf>
    <xf numFmtId="164" fontId="13" fillId="0" borderId="33" xfId="0" applyNumberFormat="1" applyFont="1" applyBorder="1" applyAlignment="1">
      <alignment horizontal="right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/>
    </xf>
    <xf numFmtId="164" fontId="4" fillId="0" borderId="33" xfId="0" applyNumberFormat="1" applyFont="1" applyBorder="1" applyAlignment="1">
      <alignment horizontal="right" vertical="center"/>
    </xf>
    <xf numFmtId="164" fontId="4" fillId="7" borderId="1" xfId="0" applyNumberFormat="1" applyFont="1" applyFill="1" applyBorder="1" applyAlignment="1">
      <alignment horizontal="right"/>
    </xf>
    <xf numFmtId="0" fontId="4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4" fillId="7" borderId="14" xfId="2" applyFont="1" applyFill="1" applyBorder="1" applyAlignment="1">
      <alignment horizontal="left" vertical="center"/>
    </xf>
    <xf numFmtId="0" fontId="4" fillId="7" borderId="28" xfId="0" applyFont="1" applyFill="1" applyBorder="1" applyAlignment="1">
      <alignment horizontal="center"/>
    </xf>
    <xf numFmtId="164" fontId="4" fillId="7" borderId="28" xfId="0" applyNumberFormat="1" applyFont="1" applyFill="1" applyBorder="1" applyAlignment="1">
      <alignment horizontal="right" vertical="center"/>
    </xf>
    <xf numFmtId="164" fontId="13" fillId="7" borderId="1" xfId="0" applyNumberFormat="1" applyFont="1" applyFill="1" applyBorder="1" applyAlignment="1">
      <alignment horizontal="right" vertical="center"/>
    </xf>
    <xf numFmtId="164" fontId="4" fillId="4" borderId="18" xfId="0" applyNumberFormat="1" applyFont="1" applyFill="1" applyBorder="1"/>
    <xf numFmtId="0" fontId="4" fillId="4" borderId="18" xfId="0" applyFont="1" applyFill="1" applyBorder="1" applyAlignment="1">
      <alignment horizontal="center"/>
    </xf>
    <xf numFmtId="0" fontId="4" fillId="0" borderId="36" xfId="0" applyFont="1" applyBorder="1"/>
    <xf numFmtId="0" fontId="4" fillId="0" borderId="36" xfId="0" applyFont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/>
    <xf numFmtId="0" fontId="0" fillId="9" borderId="38" xfId="0" applyFill="1" applyBorder="1"/>
    <xf numFmtId="0" fontId="4" fillId="0" borderId="1" xfId="0" applyFont="1" applyBorder="1" applyAlignment="1">
      <alignment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64" fontId="4" fillId="0" borderId="25" xfId="0" applyNumberFormat="1" applyFont="1" applyBorder="1"/>
    <xf numFmtId="164" fontId="4" fillId="0" borderId="18" xfId="0" applyNumberFormat="1" applyFont="1" applyBorder="1"/>
    <xf numFmtId="164" fontId="4" fillId="4" borderId="36" xfId="0" applyNumberFormat="1" applyFont="1" applyFill="1" applyBorder="1"/>
    <xf numFmtId="0" fontId="4" fillId="0" borderId="18" xfId="2" applyFont="1" applyBorder="1" applyAlignment="1">
      <alignment horizontal="left"/>
    </xf>
    <xf numFmtId="0" fontId="4" fillId="0" borderId="28" xfId="2" applyFont="1" applyBorder="1" applyAlignment="1">
      <alignment horizontal="left" vertical="center"/>
    </xf>
    <xf numFmtId="164" fontId="4" fillId="0" borderId="36" xfId="0" applyNumberFormat="1" applyFont="1" applyBorder="1"/>
    <xf numFmtId="0" fontId="17" fillId="2" borderId="13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4" fillId="7" borderId="1" xfId="1" applyFont="1" applyFill="1" applyBorder="1"/>
    <xf numFmtId="0" fontId="13" fillId="10" borderId="1" xfId="0" applyFont="1" applyFill="1" applyBorder="1"/>
    <xf numFmtId="0" fontId="13" fillId="10" borderId="43" xfId="0" applyFont="1" applyFill="1" applyBorder="1"/>
    <xf numFmtId="0" fontId="3" fillId="0" borderId="43" xfId="0" applyFont="1" applyBorder="1" applyAlignment="1">
      <alignment horizontal="center" vertical="center"/>
    </xf>
    <xf numFmtId="0" fontId="4" fillId="0" borderId="23" xfId="0" quotePrefix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4" fillId="0" borderId="44" xfId="0" applyFont="1" applyBorder="1" applyAlignment="1">
      <alignment horizontal="center" vertical="center"/>
    </xf>
    <xf numFmtId="0" fontId="3" fillId="8" borderId="43" xfId="0" applyFont="1" applyFill="1" applyBorder="1" applyAlignment="1">
      <alignment horizontal="center" vertical="center"/>
    </xf>
    <xf numFmtId="0" fontId="4" fillId="8" borderId="23" xfId="0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11" borderId="45" xfId="0" applyFill="1" applyBorder="1" applyAlignment="1">
      <alignment horizontal="center" vertical="center"/>
    </xf>
    <xf numFmtId="0" fontId="0" fillId="11" borderId="48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4" fillId="0" borderId="51" xfId="2" applyFont="1" applyBorder="1" applyAlignment="1">
      <alignment horizontal="left"/>
    </xf>
    <xf numFmtId="16" fontId="4" fillId="0" borderId="1" xfId="2" applyNumberFormat="1" applyFont="1" applyBorder="1" applyAlignment="1">
      <alignment horizontal="left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22" fillId="0" borderId="1" xfId="0" applyFont="1" applyBorder="1"/>
    <xf numFmtId="0" fontId="22" fillId="0" borderId="1" xfId="0" applyFont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left" vertical="center"/>
    </xf>
    <xf numFmtId="0" fontId="22" fillId="8" borderId="1" xfId="0" applyFont="1" applyFill="1" applyBorder="1"/>
    <xf numFmtId="0" fontId="22" fillId="6" borderId="1" xfId="0" applyFont="1" applyFill="1" applyBorder="1" applyAlignment="1">
      <alignment horizontal="left" vertical="center"/>
    </xf>
    <xf numFmtId="0" fontId="22" fillId="8" borderId="1" xfId="0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" xfId="1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/>
    </xf>
    <xf numFmtId="164" fontId="13" fillId="12" borderId="43" xfId="0" applyNumberFormat="1" applyFont="1" applyFill="1" applyBorder="1" applyAlignment="1">
      <alignment horizontal="right" vertical="center"/>
    </xf>
    <xf numFmtId="0" fontId="13" fillId="12" borderId="43" xfId="0" applyFont="1" applyFill="1" applyBorder="1" applyAlignment="1">
      <alignment horizontal="center"/>
    </xf>
    <xf numFmtId="164" fontId="13" fillId="0" borderId="43" xfId="0" applyNumberFormat="1" applyFont="1" applyBorder="1" applyAlignment="1">
      <alignment horizontal="right" vertical="center"/>
    </xf>
    <xf numFmtId="0" fontId="4" fillId="0" borderId="53" xfId="2" applyFont="1" applyBorder="1" applyAlignment="1">
      <alignment horizontal="left"/>
    </xf>
    <xf numFmtId="164" fontId="4" fillId="0" borderId="24" xfId="0" applyNumberFormat="1" applyFont="1" applyBorder="1"/>
    <xf numFmtId="0" fontId="2" fillId="0" borderId="0" xfId="1"/>
    <xf numFmtId="0" fontId="23" fillId="0" borderId="28" xfId="0" applyFont="1" applyBorder="1" applyAlignment="1">
      <alignment horizontal="center" vertical="top"/>
    </xf>
    <xf numFmtId="0" fontId="4" fillId="0" borderId="54" xfId="0" applyFont="1" applyBorder="1" applyAlignment="1">
      <alignment horizontal="center"/>
    </xf>
    <xf numFmtId="20" fontId="4" fillId="0" borderId="2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4" fillId="4" borderId="55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/>
    </xf>
    <xf numFmtId="0" fontId="13" fillId="0" borderId="56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7" borderId="23" xfId="0" applyFont="1" applyFill="1" applyBorder="1" applyAlignment="1">
      <alignment horizontal="center"/>
    </xf>
    <xf numFmtId="0" fontId="4" fillId="4" borderId="44" xfId="0" applyFont="1" applyFill="1" applyBorder="1" applyAlignment="1">
      <alignment horizontal="center"/>
    </xf>
    <xf numFmtId="0" fontId="13" fillId="12" borderId="56" xfId="0" applyFont="1" applyFill="1" applyBorder="1" applyAlignment="1">
      <alignment horizontal="center"/>
    </xf>
    <xf numFmtId="0" fontId="4" fillId="0" borderId="20" xfId="0" applyFont="1" applyBorder="1" applyAlignment="1">
      <alignment horizontal="center" vertical="center"/>
    </xf>
    <xf numFmtId="0" fontId="4" fillId="0" borderId="39" xfId="2" applyFont="1" applyBorder="1" applyAlignment="1">
      <alignment horizontal="left"/>
    </xf>
    <xf numFmtId="0" fontId="4" fillId="0" borderId="18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164" fontId="4" fillId="4" borderId="18" xfId="0" applyNumberFormat="1" applyFont="1" applyFill="1" applyBorder="1" applyAlignment="1">
      <alignment horizontal="right" vertical="center"/>
    </xf>
    <xf numFmtId="164" fontId="4" fillId="0" borderId="38" xfId="0" applyNumberFormat="1" applyFont="1" applyBorder="1" applyAlignment="1">
      <alignment horizontal="right" vertical="center"/>
    </xf>
    <xf numFmtId="0" fontId="25" fillId="3" borderId="1" xfId="0" applyFont="1" applyFill="1" applyBorder="1" applyAlignment="1">
      <alignment horizontal="center" vertical="center" wrapText="1"/>
    </xf>
    <xf numFmtId="15" fontId="25" fillId="3" borderId="1" xfId="0" applyNumberFormat="1" applyFont="1" applyFill="1" applyBorder="1" applyAlignment="1">
      <alignment horizontal="center" vertical="center" wrapText="1"/>
    </xf>
    <xf numFmtId="0" fontId="4" fillId="13" borderId="18" xfId="0" applyFont="1" applyFill="1" applyBorder="1"/>
    <xf numFmtId="0" fontId="4" fillId="13" borderId="0" xfId="0" applyFont="1" applyFill="1" applyAlignment="1">
      <alignment horizontal="center" vertical="center"/>
    </xf>
    <xf numFmtId="164" fontId="4" fillId="13" borderId="1" xfId="0" applyNumberFormat="1" applyFont="1" applyFill="1" applyBorder="1"/>
    <xf numFmtId="0" fontId="4" fillId="13" borderId="1" xfId="0" applyFont="1" applyFill="1" applyBorder="1" applyAlignment="1">
      <alignment horizontal="center"/>
    </xf>
    <xf numFmtId="0" fontId="4" fillId="13" borderId="1" xfId="2" applyFont="1" applyFill="1" applyBorder="1" applyAlignment="1">
      <alignment horizontal="left"/>
    </xf>
    <xf numFmtId="0" fontId="4" fillId="13" borderId="1" xfId="0" applyFont="1" applyFill="1" applyBorder="1" applyAlignment="1">
      <alignment horizontal="center" vertical="center"/>
    </xf>
    <xf numFmtId="0" fontId="4" fillId="13" borderId="55" xfId="0" applyFont="1" applyFill="1" applyBorder="1" applyAlignment="1">
      <alignment horizontal="center"/>
    </xf>
    <xf numFmtId="0" fontId="4" fillId="13" borderId="36" xfId="0" applyFont="1" applyFill="1" applyBorder="1" applyAlignment="1">
      <alignment horizontal="center" vertical="center"/>
    </xf>
    <xf numFmtId="164" fontId="4" fillId="13" borderId="36" xfId="0" applyNumberFormat="1" applyFont="1" applyFill="1" applyBorder="1"/>
    <xf numFmtId="0" fontId="4" fillId="0" borderId="57" xfId="0" applyFont="1" applyBorder="1" applyAlignment="1">
      <alignment horizontal="center"/>
    </xf>
    <xf numFmtId="0" fontId="4" fillId="0" borderId="23" xfId="0" applyFont="1" applyBorder="1"/>
    <xf numFmtId="0" fontId="4" fillId="7" borderId="1" xfId="0" applyFont="1" applyFill="1" applyBorder="1" applyAlignment="1">
      <alignment wrapText="1"/>
    </xf>
    <xf numFmtId="0" fontId="5" fillId="0" borderId="5" xfId="1" applyFont="1" applyFill="1" applyBorder="1"/>
    <xf numFmtId="0" fontId="4" fillId="8" borderId="1" xfId="0" applyFont="1" applyFill="1" applyBorder="1"/>
    <xf numFmtId="0" fontId="22" fillId="0" borderId="1" xfId="0" applyFont="1" applyBorder="1" applyAlignment="1">
      <alignment wrapText="1"/>
    </xf>
    <xf numFmtId="0" fontId="30" fillId="0" borderId="1" xfId="0" applyFont="1" applyBorder="1" applyAlignment="1">
      <alignment wrapText="1"/>
    </xf>
    <xf numFmtId="0" fontId="27" fillId="2" borderId="1" xfId="0" applyFont="1" applyFill="1" applyBorder="1"/>
    <xf numFmtId="164" fontId="4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16" fontId="4" fillId="0" borderId="28" xfId="2" applyNumberFormat="1" applyFont="1" applyBorder="1" applyAlignment="1">
      <alignment horizontal="left"/>
    </xf>
    <xf numFmtId="0" fontId="4" fillId="0" borderId="58" xfId="0" applyFont="1" applyBorder="1" applyAlignment="1">
      <alignment horizontal="center" vertical="center"/>
    </xf>
    <xf numFmtId="164" fontId="4" fillId="0" borderId="59" xfId="0" applyNumberFormat="1" applyFont="1" applyBorder="1"/>
    <xf numFmtId="0" fontId="4" fillId="0" borderId="59" xfId="0" applyFont="1" applyBorder="1" applyAlignment="1">
      <alignment horizontal="center"/>
    </xf>
    <xf numFmtId="0" fontId="4" fillId="0" borderId="1" xfId="2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/>
    <xf numFmtId="0" fontId="4" fillId="7" borderId="1" xfId="2" applyFont="1" applyFill="1" applyBorder="1" applyAlignment="1">
      <alignment horizontal="left" vertical="center"/>
    </xf>
    <xf numFmtId="0" fontId="3" fillId="7" borderId="6" xfId="2" applyFont="1" applyFill="1" applyBorder="1" applyAlignment="1">
      <alignment horizontal="center"/>
    </xf>
    <xf numFmtId="0" fontId="4" fillId="13" borderId="1" xfId="0" applyFont="1" applyFill="1" applyBorder="1"/>
    <xf numFmtId="164" fontId="4" fillId="4" borderId="28" xfId="0" applyNumberFormat="1" applyFont="1" applyFill="1" applyBorder="1"/>
    <xf numFmtId="0" fontId="4" fillId="14" borderId="1" xfId="0" applyFont="1" applyFill="1" applyBorder="1" applyAlignment="1">
      <alignment horizontal="center"/>
    </xf>
    <xf numFmtId="0" fontId="4" fillId="13" borderId="0" xfId="0" applyFont="1" applyFill="1"/>
    <xf numFmtId="0" fontId="31" fillId="3" borderId="1" xfId="0" applyFont="1" applyFill="1" applyBorder="1" applyAlignment="1">
      <alignment horizontal="center" vertical="center" wrapText="1"/>
    </xf>
    <xf numFmtId="15" fontId="31" fillId="3" borderId="1" xfId="0" applyNumberFormat="1" applyFont="1" applyFill="1" applyBorder="1" applyAlignment="1">
      <alignment horizontal="center" vertical="center" wrapText="1"/>
    </xf>
    <xf numFmtId="164" fontId="13" fillId="0" borderId="43" xfId="0" applyNumberFormat="1" applyFont="1" applyBorder="1" applyAlignment="1">
      <alignment horizontal="right"/>
    </xf>
    <xf numFmtId="0" fontId="16" fillId="0" borderId="0" xfId="0" applyFont="1"/>
    <xf numFmtId="0" fontId="4" fillId="14" borderId="1" xfId="0" applyFont="1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5" fillId="3" borderId="23" xfId="0" applyFont="1" applyFill="1" applyBorder="1" applyAlignment="1">
      <alignment horizontal="center" vertical="center" wrapText="1"/>
    </xf>
    <xf numFmtId="0" fontId="25" fillId="3" borderId="43" xfId="0" applyFont="1" applyFill="1" applyBorder="1" applyAlignment="1">
      <alignment horizontal="center" vertical="center" wrapText="1"/>
    </xf>
    <xf numFmtId="0" fontId="12" fillId="3" borderId="10" xfId="2" applyFont="1" applyFill="1" applyBorder="1" applyAlignment="1">
      <alignment horizontal="center"/>
    </xf>
    <xf numFmtId="0" fontId="12" fillId="3" borderId="11" xfId="2" applyFont="1" applyFill="1" applyBorder="1" applyAlignment="1">
      <alignment horizontal="center"/>
    </xf>
    <xf numFmtId="0" fontId="12" fillId="3" borderId="12" xfId="2" applyFont="1" applyFill="1" applyBorder="1" applyAlignment="1">
      <alignment horizontal="center"/>
    </xf>
    <xf numFmtId="0" fontId="12" fillId="3" borderId="13" xfId="2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4" fillId="0" borderId="2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18" xfId="0" applyFill="1" applyBorder="1" applyAlignment="1">
      <alignment horizontal="center" vertical="center"/>
    </xf>
    <xf numFmtId="0" fontId="0" fillId="9" borderId="38" xfId="0" applyFill="1" applyBorder="1" applyAlignment="1">
      <alignment horizontal="center" vertical="center"/>
    </xf>
    <xf numFmtId="0" fontId="0" fillId="9" borderId="28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9" borderId="39" xfId="0" applyFill="1" applyBorder="1" applyAlignment="1">
      <alignment horizontal="center" vertical="center"/>
    </xf>
    <xf numFmtId="0" fontId="0" fillId="9" borderId="40" xfId="0" applyFill="1" applyBorder="1" applyAlignment="1">
      <alignment horizontal="center" vertical="center"/>
    </xf>
    <xf numFmtId="0" fontId="0" fillId="9" borderId="41" xfId="0" applyFill="1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7" fillId="2" borderId="12" xfId="0" applyFont="1" applyFill="1" applyBorder="1" applyAlignment="1">
      <alignment horizontal="center"/>
    </xf>
    <xf numFmtId="0" fontId="17" fillId="2" borderId="19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18" fillId="2" borderId="12" xfId="0" applyFont="1" applyFill="1" applyBorder="1" applyAlignment="1">
      <alignment horizontal="center"/>
    </xf>
    <xf numFmtId="0" fontId="18" fillId="2" borderId="1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13" borderId="37" xfId="0" applyFont="1" applyFill="1" applyBorder="1" applyAlignment="1">
      <alignment horizontal="center"/>
    </xf>
    <xf numFmtId="0" fontId="4" fillId="13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9" fillId="2" borderId="20" xfId="0" applyFont="1" applyFill="1" applyBorder="1" applyAlignment="1">
      <alignment horizontal="center"/>
    </xf>
    <xf numFmtId="0" fontId="4" fillId="0" borderId="37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/>
    </xf>
    <xf numFmtId="0" fontId="4" fillId="0" borderId="61" xfId="0" applyFont="1" applyBorder="1" applyAlignment="1">
      <alignment horizontal="center"/>
    </xf>
    <xf numFmtId="0" fontId="4" fillId="0" borderId="60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</cellXfs>
  <cellStyles count="3">
    <cellStyle name="Köprü" xfId="1" builtinId="8"/>
    <cellStyle name="Normal" xfId="0" builtinId="0"/>
    <cellStyle name="Normal 2" xfId="2" xr:uid="{93089D8E-19DB-7242-B74A-AE3771AF2D4C}"/>
  </cellStyles>
  <dxfs count="1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38720</xdr:colOff>
      <xdr:row>3</xdr:row>
      <xdr:rowOff>54207</xdr:rowOff>
    </xdr:from>
    <xdr:to>
      <xdr:col>5</xdr:col>
      <xdr:colOff>1169329</xdr:colOff>
      <xdr:row>6</xdr:row>
      <xdr:rowOff>108415</xdr:rowOff>
    </xdr:to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8E0317D5-74C1-A305-2AAE-D5D4F6CC7135}"/>
            </a:ext>
          </a:extLst>
        </xdr:cNvPr>
        <xdr:cNvSpPr txBox="1"/>
      </xdr:nvSpPr>
      <xdr:spPr>
        <a:xfrm>
          <a:off x="6442927" y="774390"/>
          <a:ext cx="1130609" cy="7743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AR.GÖR.</a:t>
          </a:r>
          <a:r>
            <a:rPr lang="tr-TR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PUAN SIRALAMASI</a:t>
          </a:r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B8CAAC-3E94-EE49-8EA7-3B65179D0606}" name="Tablo1" displayName="Tablo1" ref="A1:C11" totalsRowShown="0" headerRowBorderDxfId="10" tableBorderDxfId="9" totalsRowBorderDxfId="8">
  <autoFilter ref="A1:C11" xr:uid="{C9B8CAAC-3E94-EE49-8EA7-3B65179D0606}"/>
  <tableColumns count="3">
    <tableColumn id="1" xr3:uid="{F56A83DA-80B7-254F-83EB-72738B1D6DFC}" name="Sıra" dataDxfId="7"/>
    <tableColumn id="2" xr3:uid="{5BD4B683-ADA2-ED40-9989-97DEB3729C25}" name="Araştırma Görevlisi" dataDxfId="6"/>
    <tableColumn id="3" xr3:uid="{A4A1D6EA-F5C8-1F40-B7BB-704161FAD1E4}" name="Puanı" dataDxfId="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DCE385-82AB-ED4A-A629-3DCD9DB2379E}" name="Tablo2" displayName="Tablo2" ref="A1:E11" totalsRowShown="0" headerRowDxfId="4" headerRowBorderDxfId="3" tableBorderDxfId="2">
  <autoFilter ref="A1:E11" xr:uid="{CFDCE385-82AB-ED4A-A629-3DCD9DB2379E}"/>
  <tableColumns count="5">
    <tableColumn id="1" xr3:uid="{487A356C-FC5C-6A44-8702-E3D8ADA7C275}" name="Fakülte"/>
    <tableColumn id="2" xr3:uid="{4D22E53D-A586-0448-939B-76975C297958}" name="Bölüm"/>
    <tableColumn id="3" xr3:uid="{467D77E1-417F-2643-BD72-A1D88321A642}" name="İsim" dataDxfId="1"/>
    <tableColumn id="4" xr3:uid="{3F69B3B5-F49F-C44F-8772-C7F8FCFEDCD2}" name="Cep Telefonu" dataDxfId="0"/>
    <tableColumn id="5" xr3:uid="{1AB40773-83C4-A147-9C5F-86ECC6A00F11}" name="E-post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coskunm19@itu.edu.tr" TargetMode="External"/><Relationship Id="rId2" Type="http://schemas.openxmlformats.org/officeDocument/2006/relationships/hyperlink" Target="mailto:gulme@itu.edu.tr" TargetMode="External"/><Relationship Id="rId1" Type="http://schemas.openxmlformats.org/officeDocument/2006/relationships/hyperlink" Target="mailto:doganaybe@itu.edu.tr" TargetMode="External"/><Relationship Id="rId6" Type="http://schemas.openxmlformats.org/officeDocument/2006/relationships/table" Target="../tables/table2.xml"/><Relationship Id="rId5" Type="http://schemas.openxmlformats.org/officeDocument/2006/relationships/hyperlink" Target="mailto:orhanm17@itu.edu.tr" TargetMode="External"/><Relationship Id="rId4" Type="http://schemas.openxmlformats.org/officeDocument/2006/relationships/hyperlink" Target="mailto:sbicen@itu.edu.tr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obs.itu.edu.tr/public/DersBilgi?bransKodu=GMI&amp;dersNo=384E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obs.itu.edu.tr/public/DersBilgi?bransKodu=GMI&amp;dersNo=324E" TargetMode="External"/><Relationship Id="rId2" Type="http://schemas.openxmlformats.org/officeDocument/2006/relationships/hyperlink" Target="https://obs.itu.edu.tr/public/DersBilgi?bransKodu=GMI&amp;dersNo=324" TargetMode="External"/><Relationship Id="rId1" Type="http://schemas.openxmlformats.org/officeDocument/2006/relationships/hyperlink" Target="https://obs.itu.edu.tr/public/DersBilgi?bransKodu=GMI&amp;dersNo=324" TargetMode="External"/><Relationship Id="rId6" Type="http://schemas.openxmlformats.org/officeDocument/2006/relationships/comments" Target="../comments7.xml"/><Relationship Id="rId5" Type="http://schemas.openxmlformats.org/officeDocument/2006/relationships/vmlDrawing" Target="../drawings/vmlDrawing7.vml"/><Relationship Id="rId4" Type="http://schemas.openxmlformats.org/officeDocument/2006/relationships/hyperlink" Target="https://obs.itu.edu.tr/public/DersBilgi?bransKodu=GMI&amp;dersNo=324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obs.itu.edu.tr/public/DersBilgi?bransKodu=GMI&amp;dersNo=324E" TargetMode="External"/><Relationship Id="rId3" Type="http://schemas.openxmlformats.org/officeDocument/2006/relationships/hyperlink" Target="https://obs.itu.edu.tr/public/DersBilgi?bransKodu=GMI&amp;dersNo=324E" TargetMode="External"/><Relationship Id="rId7" Type="http://schemas.openxmlformats.org/officeDocument/2006/relationships/hyperlink" Target="https://obs.itu.edu.tr/public/DersBilgi?bransKodu=GMI&amp;dersNo=324E" TargetMode="External"/><Relationship Id="rId2" Type="http://schemas.openxmlformats.org/officeDocument/2006/relationships/hyperlink" Target="https://obs.itu.edu.tr/public/DersBilgi?bransKodu=GMI&amp;dersNo=324" TargetMode="External"/><Relationship Id="rId1" Type="http://schemas.openxmlformats.org/officeDocument/2006/relationships/hyperlink" Target="https://obs.itu.edu.tr/public/DersBilgi?bransKodu=GMI&amp;dersNo=324" TargetMode="External"/><Relationship Id="rId6" Type="http://schemas.openxmlformats.org/officeDocument/2006/relationships/hyperlink" Target="https://obs.itu.edu.tr/public/DersBilgi?bransKodu=GMI&amp;dersNo=384E" TargetMode="External"/><Relationship Id="rId5" Type="http://schemas.openxmlformats.org/officeDocument/2006/relationships/hyperlink" Target="https://obs.itu.edu.tr/public/DersBilgi?bransKodu=GMI&amp;dersNo=324E" TargetMode="External"/><Relationship Id="rId10" Type="http://schemas.openxmlformats.org/officeDocument/2006/relationships/comments" Target="../comments9.xml"/><Relationship Id="rId4" Type="http://schemas.openxmlformats.org/officeDocument/2006/relationships/hyperlink" Target="https://obs.itu.edu.tr/public/DersBilgi?bransKodu=GMI&amp;dersNo=384E" TargetMode="External"/><Relationship Id="rId9" Type="http://schemas.openxmlformats.org/officeDocument/2006/relationships/vmlDrawing" Target="../drawings/vmlDrawing9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D391A-161A-BB4D-BE6D-93DC41BAF934}">
  <dimension ref="A1:H33"/>
  <sheetViews>
    <sheetView showGridLines="0" zoomScale="200" zoomScaleNormal="130" workbookViewId="0">
      <selection activeCell="H9" sqref="H9"/>
    </sheetView>
  </sheetViews>
  <sheetFormatPr baseColWidth="10" defaultRowHeight="16" x14ac:dyDescent="0.2"/>
  <cols>
    <col min="1" max="1" width="8.33203125" style="1" customWidth="1"/>
    <col min="2" max="2" width="20" style="1" customWidth="1"/>
    <col min="3" max="3" width="17.1640625" style="1" customWidth="1"/>
    <col min="4" max="4" width="19.1640625" style="1" customWidth="1"/>
    <col min="5" max="5" width="19.33203125" style="1" customWidth="1"/>
    <col min="6" max="6" width="15.83203125" style="1" customWidth="1"/>
    <col min="7" max="7" width="23.33203125" style="1" customWidth="1"/>
    <col min="8" max="16384" width="10.83203125" style="1"/>
  </cols>
  <sheetData>
    <row r="1" spans="1:8" ht="19" customHeight="1" x14ac:dyDescent="0.2">
      <c r="A1" s="171" t="s">
        <v>345</v>
      </c>
      <c r="B1" s="172" t="s">
        <v>3</v>
      </c>
      <c r="C1" s="173" t="s">
        <v>2</v>
      </c>
      <c r="F1" s="184" cm="1">
        <f t="array" ref="F1:H10">_xlfn._xlws.SORT(Tablo1[],3,-1,FALSE)</f>
        <v>1</v>
      </c>
      <c r="G1" s="179" t="str">
        <v>Begüm DOGANAY</v>
      </c>
      <c r="H1" s="180">
        <v>279</v>
      </c>
    </row>
    <row r="2" spans="1:8" ht="19" customHeight="1" x14ac:dyDescent="0.2">
      <c r="A2" s="168">
        <v>1</v>
      </c>
      <c r="B2" s="19" t="s">
        <v>5</v>
      </c>
      <c r="C2" s="169">
        <f>'Begüm DOGANAY'!E113</f>
        <v>279</v>
      </c>
      <c r="F2" s="185">
        <v>9</v>
      </c>
      <c r="G2" s="1" t="str">
        <v>Y.Tarık MUTLU</v>
      </c>
      <c r="H2" s="181">
        <v>274</v>
      </c>
    </row>
    <row r="3" spans="1:8" ht="19" customHeight="1" x14ac:dyDescent="0.2">
      <c r="A3" s="168">
        <v>2</v>
      </c>
      <c r="B3" s="19" t="s">
        <v>4</v>
      </c>
      <c r="C3" s="170">
        <f>'Cenk KAYA'!E83</f>
        <v>33</v>
      </c>
      <c r="F3" s="185">
        <v>3</v>
      </c>
      <c r="G3" s="1" t="str">
        <v>Fatih NACAR</v>
      </c>
      <c r="H3" s="181">
        <v>267</v>
      </c>
    </row>
    <row r="4" spans="1:8" ht="19" customHeight="1" x14ac:dyDescent="0.2">
      <c r="A4" s="168">
        <v>3</v>
      </c>
      <c r="B4" s="19" t="s">
        <v>6</v>
      </c>
      <c r="C4" s="170">
        <f>'Fatih NACAR'!E99</f>
        <v>267</v>
      </c>
      <c r="F4" s="185">
        <v>8</v>
      </c>
      <c r="G4" s="1" t="str">
        <v>Samet BİÇEN</v>
      </c>
      <c r="H4" s="181">
        <v>260</v>
      </c>
    </row>
    <row r="5" spans="1:8" ht="19" customHeight="1" x14ac:dyDescent="0.2">
      <c r="A5" s="168">
        <v>4</v>
      </c>
      <c r="B5" s="19" t="s">
        <v>9</v>
      </c>
      <c r="C5" s="170">
        <f>'Merve GÜL ÇIVGIN'!E106</f>
        <v>208</v>
      </c>
      <c r="F5" s="185">
        <v>4</v>
      </c>
      <c r="G5" s="1" t="str">
        <v>Merve GÜL ÇIVGIN</v>
      </c>
      <c r="H5" s="181">
        <v>208</v>
      </c>
    </row>
    <row r="6" spans="1:8" ht="19" customHeight="1" x14ac:dyDescent="0.2">
      <c r="A6" s="177">
        <v>5</v>
      </c>
      <c r="B6" s="88" t="s">
        <v>7</v>
      </c>
      <c r="C6" s="178">
        <f>'Muhittin ORHAN'!E82</f>
        <v>166</v>
      </c>
      <c r="F6" s="185">
        <v>10</v>
      </c>
      <c r="G6" s="1" t="str">
        <v>Sinan COŞKUN</v>
      </c>
      <c r="H6" s="181">
        <v>200</v>
      </c>
    </row>
    <row r="7" spans="1:8" ht="19" customHeight="1" x14ac:dyDescent="0.2">
      <c r="A7" s="177">
        <v>6</v>
      </c>
      <c r="B7" s="88" t="s">
        <v>11</v>
      </c>
      <c r="C7" s="178"/>
      <c r="F7" s="185">
        <v>7</v>
      </c>
      <c r="G7" s="1" t="str">
        <v>Rukiye GÜLMEZ</v>
      </c>
      <c r="H7" s="181">
        <v>174</v>
      </c>
    </row>
    <row r="8" spans="1:8" ht="19" customHeight="1" x14ac:dyDescent="0.2">
      <c r="A8" s="168">
        <v>7</v>
      </c>
      <c r="B8" s="19" t="s">
        <v>8</v>
      </c>
      <c r="C8" s="170">
        <f>'Rukiye GÜLMEZ'!E89</f>
        <v>174</v>
      </c>
      <c r="F8" s="185">
        <v>5</v>
      </c>
      <c r="G8" s="1" t="str">
        <v>Muhittin ORHAN</v>
      </c>
      <c r="H8" s="181">
        <v>166</v>
      </c>
    </row>
    <row r="9" spans="1:8" ht="19" customHeight="1" x14ac:dyDescent="0.2">
      <c r="A9" s="168">
        <v>8</v>
      </c>
      <c r="B9" s="19" t="s">
        <v>93</v>
      </c>
      <c r="C9" s="170">
        <f>'Samet BİÇEN'!E56</f>
        <v>260</v>
      </c>
      <c r="F9" s="185">
        <v>2</v>
      </c>
      <c r="G9" s="1" t="str">
        <v>Cenk KAYA</v>
      </c>
      <c r="H9" s="181">
        <v>33</v>
      </c>
    </row>
    <row r="10" spans="1:8" ht="19" customHeight="1" thickBot="1" x14ac:dyDescent="0.25">
      <c r="A10" s="168">
        <v>9</v>
      </c>
      <c r="B10" s="19" t="s">
        <v>10</v>
      </c>
      <c r="C10" s="170">
        <f>'Y.Tarık MUTLU'!E133</f>
        <v>274</v>
      </c>
      <c r="F10" s="186">
        <v>6</v>
      </c>
      <c r="G10" s="182" t="str">
        <v>Ö. Berkehan İnal</v>
      </c>
      <c r="H10" s="183">
        <v>0</v>
      </c>
    </row>
    <row r="11" spans="1:8" x14ac:dyDescent="0.2">
      <c r="A11" s="174">
        <v>10</v>
      </c>
      <c r="B11" s="175" t="s">
        <v>136</v>
      </c>
      <c r="C11" s="176">
        <f>'Sinan COŞKUN'!E97</f>
        <v>200</v>
      </c>
    </row>
    <row r="14" spans="1:8" x14ac:dyDescent="0.2">
      <c r="A14" s="271" t="s">
        <v>182</v>
      </c>
      <c r="B14" s="271"/>
      <c r="C14" s="271"/>
      <c r="D14" s="271"/>
      <c r="E14" s="271"/>
    </row>
    <row r="15" spans="1:8" x14ac:dyDescent="0.2">
      <c r="A15" s="271" t="s">
        <v>99</v>
      </c>
      <c r="B15" s="271"/>
      <c r="C15" s="271"/>
      <c r="D15" s="271"/>
      <c r="E15" s="271"/>
    </row>
    <row r="16" spans="1:8" x14ac:dyDescent="0.2">
      <c r="A16" s="272"/>
      <c r="B16" s="272"/>
      <c r="C16" s="272"/>
      <c r="D16" s="272"/>
      <c r="E16" s="272"/>
    </row>
    <row r="17" spans="1:8" x14ac:dyDescent="0.2">
      <c r="B17" s="1" t="s">
        <v>312</v>
      </c>
    </row>
    <row r="19" spans="1:8" ht="30" x14ac:dyDescent="0.2">
      <c r="A19" s="265">
        <v>14686</v>
      </c>
      <c r="B19" s="265" t="s">
        <v>438</v>
      </c>
      <c r="C19" s="265" t="s">
        <v>439</v>
      </c>
      <c r="D19" s="265" t="s">
        <v>440</v>
      </c>
      <c r="E19" s="265" t="s">
        <v>441</v>
      </c>
      <c r="F19" s="265" t="s">
        <v>442</v>
      </c>
      <c r="G19" s="265" t="s">
        <v>399</v>
      </c>
      <c r="H19" s="266">
        <v>46039</v>
      </c>
    </row>
    <row r="20" spans="1:8" x14ac:dyDescent="0.2">
      <c r="A20" s="273" t="s">
        <v>443</v>
      </c>
      <c r="B20" s="273"/>
      <c r="C20" s="273"/>
      <c r="D20" s="273"/>
      <c r="E20" s="273"/>
      <c r="F20" s="273"/>
      <c r="G20" s="273"/>
      <c r="H20" s="273"/>
    </row>
    <row r="22" spans="1:8" x14ac:dyDescent="0.2">
      <c r="A22" s="229"/>
      <c r="B22" s="229" t="s">
        <v>600</v>
      </c>
      <c r="C22" s="229" t="s">
        <v>601</v>
      </c>
      <c r="D22" s="274" t="s">
        <v>602</v>
      </c>
      <c r="E22" s="275"/>
      <c r="F22" s="229" t="s">
        <v>442</v>
      </c>
      <c r="G22" s="229" t="s">
        <v>488</v>
      </c>
      <c r="H22" s="230">
        <v>46130</v>
      </c>
    </row>
    <row r="24" spans="1:8" x14ac:dyDescent="0.2">
      <c r="A24" s="270" t="s">
        <v>603</v>
      </c>
      <c r="B24" s="270"/>
      <c r="C24" s="270"/>
      <c r="D24" s="270"/>
      <c r="E24" s="270"/>
      <c r="F24" s="270"/>
      <c r="G24" s="270"/>
      <c r="H24" s="270"/>
    </row>
    <row r="33" spans="6:6" x14ac:dyDescent="0.2">
      <c r="F33" s="1" t="s">
        <v>312</v>
      </c>
    </row>
  </sheetData>
  <sortState xmlns:xlrd2="http://schemas.microsoft.com/office/spreadsheetml/2017/richdata2" ref="B2:B10">
    <sortCondition ref="B2:B10"/>
  </sortState>
  <mergeCells count="6">
    <mergeCell ref="A24:H24"/>
    <mergeCell ref="A14:E14"/>
    <mergeCell ref="A15:E15"/>
    <mergeCell ref="A16:E16"/>
    <mergeCell ref="A20:H20"/>
    <mergeCell ref="D22:E22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8173C-8B4D-C94C-92AA-89C4A7B2813F}">
  <dimension ref="A1:E11"/>
  <sheetViews>
    <sheetView workbookViewId="0">
      <selection activeCell="D5" sqref="D5"/>
    </sheetView>
  </sheetViews>
  <sheetFormatPr baseColWidth="10" defaultRowHeight="16" x14ac:dyDescent="0.2"/>
  <cols>
    <col min="3" max="3" width="19.6640625" bestFit="1" customWidth="1"/>
    <col min="4" max="4" width="16.33203125" bestFit="1" customWidth="1"/>
    <col min="5" max="5" width="19.83203125" bestFit="1" customWidth="1"/>
  </cols>
  <sheetData>
    <row r="1" spans="1:5" x14ac:dyDescent="0.2">
      <c r="A1" s="206" t="s">
        <v>360</v>
      </c>
      <c r="B1" s="206" t="s">
        <v>361</v>
      </c>
      <c r="C1" s="206" t="s">
        <v>362</v>
      </c>
      <c r="D1" s="206" t="s">
        <v>363</v>
      </c>
      <c r="E1" s="206" t="s">
        <v>373</v>
      </c>
    </row>
    <row r="2" spans="1:5" x14ac:dyDescent="0.2">
      <c r="A2" t="s">
        <v>364</v>
      </c>
      <c r="B2" t="s">
        <v>365</v>
      </c>
      <c r="C2" s="19" t="s">
        <v>5</v>
      </c>
      <c r="D2" s="5">
        <v>5071432107</v>
      </c>
      <c r="E2" s="205" t="s">
        <v>375</v>
      </c>
    </row>
    <row r="3" spans="1:5" x14ac:dyDescent="0.2">
      <c r="A3" t="s">
        <v>364</v>
      </c>
      <c r="B3" t="s">
        <v>365</v>
      </c>
      <c r="C3" s="19" t="s">
        <v>4</v>
      </c>
      <c r="D3" s="5"/>
      <c r="E3" s="205" t="s">
        <v>376</v>
      </c>
    </row>
    <row r="4" spans="1:5" x14ac:dyDescent="0.2">
      <c r="A4" t="s">
        <v>364</v>
      </c>
      <c r="B4" t="s">
        <v>365</v>
      </c>
      <c r="C4" s="19" t="s">
        <v>6</v>
      </c>
      <c r="D4" s="5">
        <v>5065813277</v>
      </c>
      <c r="E4" t="s">
        <v>371</v>
      </c>
    </row>
    <row r="5" spans="1:5" x14ac:dyDescent="0.2">
      <c r="A5" t="s">
        <v>364</v>
      </c>
      <c r="B5" t="s">
        <v>365</v>
      </c>
      <c r="C5" s="19" t="s">
        <v>9</v>
      </c>
      <c r="D5" s="5">
        <v>5425111429</v>
      </c>
      <c r="E5" s="205" t="s">
        <v>370</v>
      </c>
    </row>
    <row r="6" spans="1:5" x14ac:dyDescent="0.2">
      <c r="A6" t="s">
        <v>364</v>
      </c>
      <c r="B6" t="s">
        <v>365</v>
      </c>
      <c r="C6" s="19" t="s">
        <v>7</v>
      </c>
      <c r="D6" s="5">
        <v>5545762801</v>
      </c>
      <c r="E6" s="205" t="s">
        <v>368</v>
      </c>
    </row>
    <row r="7" spans="1:5" x14ac:dyDescent="0.2">
      <c r="A7" t="s">
        <v>364</v>
      </c>
      <c r="B7" t="s">
        <v>365</v>
      </c>
      <c r="C7" s="19" t="s">
        <v>374</v>
      </c>
      <c r="D7" s="5"/>
      <c r="E7" t="s">
        <v>377</v>
      </c>
    </row>
    <row r="8" spans="1:5" x14ac:dyDescent="0.2">
      <c r="A8" t="s">
        <v>364</v>
      </c>
      <c r="B8" t="s">
        <v>365</v>
      </c>
      <c r="C8" s="19" t="s">
        <v>8</v>
      </c>
      <c r="D8" s="5">
        <v>5070963781</v>
      </c>
      <c r="E8" t="s">
        <v>369</v>
      </c>
    </row>
    <row r="9" spans="1:5" x14ac:dyDescent="0.2">
      <c r="A9" t="s">
        <v>364</v>
      </c>
      <c r="B9" t="s">
        <v>365</v>
      </c>
      <c r="C9" s="19" t="s">
        <v>93</v>
      </c>
      <c r="D9" s="5">
        <v>5522087166</v>
      </c>
      <c r="E9" s="205" t="s">
        <v>367</v>
      </c>
    </row>
    <row r="10" spans="1:5" x14ac:dyDescent="0.2">
      <c r="A10" t="s">
        <v>364</v>
      </c>
      <c r="B10" t="s">
        <v>365</v>
      </c>
      <c r="C10" s="19" t="s">
        <v>136</v>
      </c>
      <c r="D10" s="5">
        <v>5555240033</v>
      </c>
      <c r="E10" s="205" t="s">
        <v>366</v>
      </c>
    </row>
    <row r="11" spans="1:5" x14ac:dyDescent="0.2">
      <c r="A11" t="s">
        <v>364</v>
      </c>
      <c r="B11" t="s">
        <v>365</v>
      </c>
      <c r="C11" s="19" t="s">
        <v>10</v>
      </c>
      <c r="D11" s="5">
        <v>5319201098</v>
      </c>
      <c r="E11" t="s">
        <v>372</v>
      </c>
    </row>
  </sheetData>
  <sortState xmlns:xlrd2="http://schemas.microsoft.com/office/spreadsheetml/2017/richdata2" ref="C2:C11">
    <sortCondition ref="C2:C11"/>
  </sortState>
  <hyperlinks>
    <hyperlink ref="E2" r:id="rId1" xr:uid="{D8002812-C9EE-D043-9E21-3EB179E329E3}"/>
    <hyperlink ref="E5" r:id="rId2" xr:uid="{3E12B09E-B421-B548-8F80-18CC3EFAC411}"/>
    <hyperlink ref="E10" r:id="rId3" xr:uid="{AEE55ABF-8367-1A4A-940F-7C200EC7AEDA}"/>
    <hyperlink ref="E9" r:id="rId4" xr:uid="{0B5E4A4D-5F11-F542-8DF8-D0F99D6470C4}"/>
    <hyperlink ref="E6" r:id="rId5" xr:uid="{D7395EC4-10B8-074A-BAC6-2F2ED6059A96}"/>
  </hyperlinks>
  <pageMargins left="0.7" right="0.7" top="0.75" bottom="0.75" header="0.3" footer="0.3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3A271-118C-154B-BAF1-C61F0E49C3FC}">
  <dimension ref="A1:C55"/>
  <sheetViews>
    <sheetView topLeftCell="A5" zoomScale="180" workbookViewId="0">
      <selection activeCell="B29" sqref="B29"/>
    </sheetView>
  </sheetViews>
  <sheetFormatPr baseColWidth="10" defaultRowHeight="16" x14ac:dyDescent="0.2"/>
  <cols>
    <col min="1" max="1" width="36.5" style="86" bestFit="1" customWidth="1"/>
    <col min="2" max="2" width="20.1640625" style="7" customWidth="1"/>
    <col min="3" max="3" width="43.6640625" style="7" customWidth="1"/>
    <col min="4" max="16384" width="10.83203125" style="7"/>
  </cols>
  <sheetData>
    <row r="1" spans="1:2" ht="21" thickBot="1" x14ac:dyDescent="0.25">
      <c r="A1" s="276" t="s">
        <v>55</v>
      </c>
      <c r="B1" s="277"/>
    </row>
    <row r="2" spans="1:2" x14ac:dyDescent="0.2">
      <c r="A2" s="22" t="s">
        <v>255</v>
      </c>
      <c r="B2" s="23" t="s">
        <v>56</v>
      </c>
    </row>
    <row r="3" spans="1:2" x14ac:dyDescent="0.2">
      <c r="A3" s="203" t="s">
        <v>254</v>
      </c>
      <c r="B3" s="25" t="s">
        <v>57</v>
      </c>
    </row>
    <row r="4" spans="1:2" x14ac:dyDescent="0.2">
      <c r="A4" s="46" t="s">
        <v>358</v>
      </c>
      <c r="B4" s="25" t="s">
        <v>62</v>
      </c>
    </row>
    <row r="5" spans="1:2" x14ac:dyDescent="0.2">
      <c r="A5" s="26" t="s">
        <v>64</v>
      </c>
      <c r="B5" s="27" t="s">
        <v>57</v>
      </c>
    </row>
    <row r="6" spans="1:2" x14ac:dyDescent="0.2">
      <c r="A6" s="28" t="s">
        <v>378</v>
      </c>
      <c r="B6" s="29" t="s">
        <v>57</v>
      </c>
    </row>
    <row r="7" spans="1:2" x14ac:dyDescent="0.2">
      <c r="A7" s="28" t="s">
        <v>256</v>
      </c>
      <c r="B7" s="29" t="s">
        <v>58</v>
      </c>
    </row>
    <row r="8" spans="1:2" x14ac:dyDescent="0.2">
      <c r="A8" s="26" t="s">
        <v>65</v>
      </c>
      <c r="B8" s="27" t="s">
        <v>62</v>
      </c>
    </row>
    <row r="9" spans="1:2" ht="17" thickBot="1" x14ac:dyDescent="0.25">
      <c r="A9" s="187" t="s">
        <v>66</v>
      </c>
      <c r="B9" s="30" t="s">
        <v>63</v>
      </c>
    </row>
    <row r="10" spans="1:2" ht="21" thickBot="1" x14ac:dyDescent="0.25">
      <c r="A10" s="278" t="s">
        <v>59</v>
      </c>
      <c r="B10" s="279"/>
    </row>
    <row r="11" spans="1:2" x14ac:dyDescent="0.2">
      <c r="A11" s="24" t="s">
        <v>120</v>
      </c>
      <c r="B11" s="25" t="s">
        <v>57</v>
      </c>
    </row>
    <row r="12" spans="1:2" x14ac:dyDescent="0.2">
      <c r="A12" s="24" t="s">
        <v>67</v>
      </c>
      <c r="B12" s="25" t="s">
        <v>58</v>
      </c>
    </row>
    <row r="13" spans="1:2" x14ac:dyDescent="0.2">
      <c r="A13" s="31" t="s">
        <v>61</v>
      </c>
      <c r="B13" s="27" t="s">
        <v>56</v>
      </c>
    </row>
    <row r="14" spans="1:2" x14ac:dyDescent="0.2">
      <c r="A14" s="26" t="s">
        <v>68</v>
      </c>
      <c r="B14" s="27" t="s">
        <v>58</v>
      </c>
    </row>
    <row r="15" spans="1:2" x14ac:dyDescent="0.2">
      <c r="A15" s="26" t="s">
        <v>69</v>
      </c>
      <c r="B15" s="27" t="s">
        <v>57</v>
      </c>
    </row>
    <row r="16" spans="1:2" x14ac:dyDescent="0.2">
      <c r="A16" s="77" t="s">
        <v>70</v>
      </c>
      <c r="B16" s="27" t="s">
        <v>57</v>
      </c>
    </row>
    <row r="17" spans="1:3" x14ac:dyDescent="0.2">
      <c r="A17" s="78" t="s">
        <v>71</v>
      </c>
      <c r="B17" s="27" t="s">
        <v>60</v>
      </c>
    </row>
    <row r="18" spans="1:3" x14ac:dyDescent="0.2">
      <c r="A18" s="26" t="s">
        <v>127</v>
      </c>
      <c r="B18" s="27" t="s">
        <v>73</v>
      </c>
      <c r="C18" s="47"/>
    </row>
    <row r="19" spans="1:3" x14ac:dyDescent="0.2">
      <c r="A19" s="76" t="s">
        <v>128</v>
      </c>
      <c r="B19" s="27" t="s">
        <v>72</v>
      </c>
      <c r="C19" s="40"/>
    </row>
    <row r="20" spans="1:3" x14ac:dyDescent="0.2">
      <c r="A20" s="26" t="s">
        <v>129</v>
      </c>
      <c r="B20" s="27" t="s">
        <v>131</v>
      </c>
      <c r="C20" s="40"/>
    </row>
    <row r="21" spans="1:3" x14ac:dyDescent="0.2">
      <c r="A21" s="76" t="s">
        <v>130</v>
      </c>
      <c r="B21" s="27" t="s">
        <v>73</v>
      </c>
      <c r="C21" s="40"/>
    </row>
    <row r="22" spans="1:3" x14ac:dyDescent="0.2">
      <c r="A22" s="26" t="s">
        <v>313</v>
      </c>
      <c r="B22" s="27" t="s">
        <v>56</v>
      </c>
      <c r="C22" s="40"/>
    </row>
    <row r="23" spans="1:3" x14ac:dyDescent="0.2">
      <c r="A23" s="26" t="s">
        <v>74</v>
      </c>
      <c r="B23" s="27" t="s">
        <v>58</v>
      </c>
      <c r="C23" s="40"/>
    </row>
    <row r="24" spans="1:3" x14ac:dyDescent="0.2">
      <c r="A24" s="26" t="s">
        <v>75</v>
      </c>
      <c r="B24" s="27" t="s">
        <v>57</v>
      </c>
    </row>
    <row r="25" spans="1:3" x14ac:dyDescent="0.2">
      <c r="A25" s="26" t="s">
        <v>76</v>
      </c>
      <c r="B25" s="27" t="s">
        <v>57</v>
      </c>
    </row>
    <row r="26" spans="1:3" x14ac:dyDescent="0.2">
      <c r="A26" s="26" t="s">
        <v>119</v>
      </c>
      <c r="B26" s="27" t="s">
        <v>57</v>
      </c>
    </row>
    <row r="27" spans="1:3" x14ac:dyDescent="0.2">
      <c r="A27" s="26" t="s">
        <v>101</v>
      </c>
      <c r="B27" s="27" t="s">
        <v>63</v>
      </c>
    </row>
    <row r="28" spans="1:3" x14ac:dyDescent="0.2">
      <c r="A28" s="79" t="s">
        <v>124</v>
      </c>
      <c r="B28" s="27" t="s">
        <v>62</v>
      </c>
      <c r="C28" s="20"/>
    </row>
    <row r="29" spans="1:3" x14ac:dyDescent="0.2">
      <c r="A29" s="259" t="s">
        <v>245</v>
      </c>
      <c r="B29" s="260" t="s">
        <v>57</v>
      </c>
      <c r="C29" s="21"/>
    </row>
    <row r="30" spans="1:3" x14ac:dyDescent="0.2">
      <c r="A30" s="79" t="s">
        <v>186</v>
      </c>
      <c r="B30" s="27" t="s">
        <v>60</v>
      </c>
      <c r="C30" s="21"/>
    </row>
    <row r="31" spans="1:3" x14ac:dyDescent="0.2">
      <c r="A31" s="79" t="s">
        <v>197</v>
      </c>
      <c r="B31" s="27" t="s">
        <v>56</v>
      </c>
      <c r="C31" s="21"/>
    </row>
    <row r="32" spans="1:3" x14ac:dyDescent="0.2">
      <c r="A32" s="80" t="s">
        <v>198</v>
      </c>
      <c r="B32" s="27" t="s">
        <v>201</v>
      </c>
      <c r="C32" s="21"/>
    </row>
    <row r="33" spans="1:2" x14ac:dyDescent="0.2">
      <c r="A33" s="80" t="s">
        <v>244</v>
      </c>
      <c r="B33" s="27" t="s">
        <v>242</v>
      </c>
    </row>
    <row r="34" spans="1:2" x14ac:dyDescent="0.2">
      <c r="A34" s="80" t="s">
        <v>246</v>
      </c>
      <c r="B34" s="27" t="s">
        <v>131</v>
      </c>
    </row>
    <row r="35" spans="1:2" x14ac:dyDescent="0.2">
      <c r="A35" s="26"/>
      <c r="B35" s="27"/>
    </row>
    <row r="36" spans="1:2" x14ac:dyDescent="0.2">
      <c r="A36" s="26"/>
      <c r="B36" s="27"/>
    </row>
    <row r="37" spans="1:2" x14ac:dyDescent="0.2">
      <c r="A37" s="26"/>
      <c r="B37" s="27"/>
    </row>
    <row r="38" spans="1:2" x14ac:dyDescent="0.2">
      <c r="A38" s="26"/>
      <c r="B38" s="27"/>
    </row>
    <row r="39" spans="1:2" x14ac:dyDescent="0.2">
      <c r="A39" s="26"/>
      <c r="B39" s="27"/>
    </row>
    <row r="40" spans="1:2" x14ac:dyDescent="0.2">
      <c r="A40" s="26"/>
      <c r="B40" s="27"/>
    </row>
    <row r="41" spans="1:2" x14ac:dyDescent="0.2">
      <c r="A41" s="26"/>
      <c r="B41" s="27"/>
    </row>
    <row r="42" spans="1:2" x14ac:dyDescent="0.2">
      <c r="A42" s="26"/>
      <c r="B42" s="27"/>
    </row>
    <row r="43" spans="1:2" x14ac:dyDescent="0.2">
      <c r="A43" s="26"/>
      <c r="B43" s="27"/>
    </row>
    <row r="44" spans="1:2" x14ac:dyDescent="0.2">
      <c r="A44" s="26"/>
      <c r="B44" s="27"/>
    </row>
    <row r="45" spans="1:2" x14ac:dyDescent="0.2">
      <c r="A45" s="26"/>
      <c r="B45" s="27"/>
    </row>
    <row r="46" spans="1:2" x14ac:dyDescent="0.2">
      <c r="A46" s="26"/>
      <c r="B46" s="27"/>
    </row>
    <row r="47" spans="1:2" x14ac:dyDescent="0.2">
      <c r="A47" s="26"/>
      <c r="B47" s="27"/>
    </row>
    <row r="48" spans="1:2" x14ac:dyDescent="0.2">
      <c r="A48" s="26"/>
      <c r="B48" s="27"/>
    </row>
    <row r="49" spans="1:2" x14ac:dyDescent="0.2">
      <c r="A49" s="26"/>
      <c r="B49" s="27"/>
    </row>
    <row r="50" spans="1:2" x14ac:dyDescent="0.2">
      <c r="A50" s="81"/>
      <c r="B50" s="27"/>
    </row>
    <row r="51" spans="1:2" x14ac:dyDescent="0.2">
      <c r="A51" s="82"/>
      <c r="B51" s="35"/>
    </row>
    <row r="52" spans="1:2" x14ac:dyDescent="0.2">
      <c r="A52" s="82"/>
      <c r="B52" s="35"/>
    </row>
    <row r="53" spans="1:2" x14ac:dyDescent="0.2">
      <c r="A53" s="83"/>
      <c r="B53" s="35"/>
    </row>
    <row r="54" spans="1:2" x14ac:dyDescent="0.2">
      <c r="A54" s="84"/>
      <c r="B54" s="35"/>
    </row>
    <row r="55" spans="1:2" x14ac:dyDescent="0.2">
      <c r="A55" s="85"/>
      <c r="B55" s="35"/>
    </row>
  </sheetData>
  <mergeCells count="2">
    <mergeCell ref="A1:B1"/>
    <mergeCell ref="A10:B10"/>
  </mergeCells>
  <phoneticPr fontId="19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1BE32-86FA-2B42-9B81-D34831A9FE3A}">
  <dimension ref="A1:L12"/>
  <sheetViews>
    <sheetView zoomScale="125" workbookViewId="0">
      <selection activeCell="O6" sqref="O6"/>
    </sheetView>
  </sheetViews>
  <sheetFormatPr baseColWidth="10" defaultRowHeight="16" x14ac:dyDescent="0.2"/>
  <cols>
    <col min="1" max="1" width="17.33203125" style="7" customWidth="1"/>
    <col min="2" max="5" width="10.83203125" style="89"/>
    <col min="6" max="6" width="10.83203125" style="89" customWidth="1"/>
    <col min="7" max="16384" width="10.83203125" style="7"/>
  </cols>
  <sheetData>
    <row r="1" spans="1:12" ht="18" x14ac:dyDescent="0.2">
      <c r="A1" s="280" t="s">
        <v>135</v>
      </c>
      <c r="B1" s="280"/>
      <c r="C1" s="280"/>
      <c r="D1" s="280"/>
      <c r="E1" s="280"/>
      <c r="F1" s="280"/>
      <c r="H1" s="9"/>
      <c r="I1" s="9"/>
      <c r="J1" s="9"/>
      <c r="K1" s="9"/>
      <c r="L1" s="9"/>
    </row>
    <row r="2" spans="1:12" x14ac:dyDescent="0.2">
      <c r="A2" s="189" t="s">
        <v>3</v>
      </c>
      <c r="B2" s="189" t="s">
        <v>224</v>
      </c>
      <c r="C2" s="189" t="s">
        <v>225</v>
      </c>
      <c r="D2" s="189" t="s">
        <v>226</v>
      </c>
      <c r="E2" s="189" t="s">
        <v>227</v>
      </c>
      <c r="F2" s="189" t="s">
        <v>228</v>
      </c>
      <c r="H2" s="9"/>
      <c r="I2" s="9"/>
      <c r="J2" s="9"/>
      <c r="K2" s="9"/>
      <c r="L2" s="9"/>
    </row>
    <row r="3" spans="1:12" ht="43" customHeight="1" x14ac:dyDescent="0.2">
      <c r="A3" s="190" t="s">
        <v>5</v>
      </c>
      <c r="B3" s="191"/>
      <c r="C3" s="192" t="s">
        <v>331</v>
      </c>
      <c r="D3" s="191"/>
      <c r="E3" s="191"/>
      <c r="F3" s="191"/>
      <c r="H3" s="9"/>
      <c r="I3" s="9"/>
      <c r="J3" s="9"/>
      <c r="K3" s="9"/>
      <c r="L3" s="9"/>
    </row>
    <row r="4" spans="1:12" ht="16" customHeight="1" x14ac:dyDescent="0.2">
      <c r="A4" s="193" t="s">
        <v>4</v>
      </c>
      <c r="B4" s="194"/>
      <c r="C4" s="194"/>
      <c r="D4" s="194"/>
      <c r="E4" s="194"/>
      <c r="F4" s="194"/>
      <c r="H4" s="244"/>
      <c r="I4" s="244"/>
      <c r="J4" s="244"/>
      <c r="K4" s="244"/>
      <c r="L4" s="244"/>
    </row>
    <row r="5" spans="1:12" ht="45" customHeight="1" x14ac:dyDescent="0.2">
      <c r="A5" s="190" t="s">
        <v>6</v>
      </c>
      <c r="B5" s="192" t="s">
        <v>230</v>
      </c>
      <c r="C5" s="192" t="s">
        <v>234</v>
      </c>
      <c r="D5" s="192"/>
      <c r="E5" s="192"/>
      <c r="F5" s="192"/>
      <c r="H5" s="9"/>
      <c r="I5" s="9"/>
      <c r="J5" s="9"/>
      <c r="K5" s="9"/>
      <c r="L5" s="9"/>
    </row>
    <row r="6" spans="1:12" ht="39" customHeight="1" x14ac:dyDescent="0.2">
      <c r="A6" s="190" t="s">
        <v>9</v>
      </c>
      <c r="B6" s="192"/>
      <c r="C6" s="192" t="s">
        <v>331</v>
      </c>
      <c r="D6" s="192"/>
      <c r="E6" s="192"/>
      <c r="F6" s="192"/>
      <c r="H6" s="9"/>
      <c r="I6" s="9"/>
      <c r="J6" s="9"/>
      <c r="K6" s="9"/>
      <c r="L6" s="9"/>
    </row>
    <row r="7" spans="1:12" ht="42" customHeight="1" x14ac:dyDescent="0.2">
      <c r="A7" s="190" t="s">
        <v>7</v>
      </c>
      <c r="B7" s="192"/>
      <c r="C7" s="192"/>
      <c r="D7" s="192"/>
      <c r="E7" s="192"/>
      <c r="F7" s="192"/>
      <c r="H7" s="9"/>
      <c r="I7" s="9"/>
      <c r="J7" s="9"/>
      <c r="K7" s="9"/>
      <c r="L7" s="9"/>
    </row>
    <row r="8" spans="1:12" ht="25" customHeight="1" x14ac:dyDescent="0.2">
      <c r="A8" s="195" t="s">
        <v>11</v>
      </c>
      <c r="B8" s="196"/>
      <c r="C8" s="196"/>
      <c r="D8" s="196"/>
      <c r="E8" s="196"/>
      <c r="F8" s="196"/>
      <c r="H8" s="244"/>
      <c r="I8" s="244"/>
      <c r="J8" s="244"/>
      <c r="K8" s="244"/>
      <c r="L8" s="244"/>
    </row>
    <row r="9" spans="1:12" ht="52" customHeight="1" x14ac:dyDescent="0.2">
      <c r="A9" s="190" t="s">
        <v>8</v>
      </c>
      <c r="B9" s="192"/>
      <c r="C9" s="192"/>
      <c r="D9" s="192"/>
      <c r="E9" s="192"/>
      <c r="F9" s="192" t="s">
        <v>229</v>
      </c>
      <c r="H9" s="9"/>
      <c r="I9" s="9"/>
      <c r="J9" s="9"/>
      <c r="K9" s="9"/>
      <c r="L9" s="9"/>
    </row>
    <row r="10" spans="1:12" ht="67" customHeight="1" x14ac:dyDescent="0.2">
      <c r="A10" s="190" t="s">
        <v>93</v>
      </c>
      <c r="B10" s="192"/>
      <c r="C10" s="197"/>
      <c r="D10" s="198" t="s">
        <v>231</v>
      </c>
      <c r="E10" s="192" t="s">
        <v>232</v>
      </c>
      <c r="F10" s="192" t="s">
        <v>233</v>
      </c>
      <c r="H10" s="246" t="s">
        <v>511</v>
      </c>
      <c r="I10" s="9"/>
      <c r="J10" s="246" t="s">
        <v>512</v>
      </c>
      <c r="K10" s="9"/>
      <c r="L10" s="245" t="s">
        <v>513</v>
      </c>
    </row>
    <row r="11" spans="1:12" ht="56" customHeight="1" x14ac:dyDescent="0.2">
      <c r="A11" s="190" t="s">
        <v>10</v>
      </c>
      <c r="B11" s="192"/>
      <c r="C11" s="192" t="s">
        <v>236</v>
      </c>
      <c r="D11" s="192"/>
      <c r="E11" s="192" t="s">
        <v>236</v>
      </c>
      <c r="F11" s="192"/>
      <c r="H11" s="245" t="s">
        <v>514</v>
      </c>
      <c r="I11" s="245" t="s">
        <v>514</v>
      </c>
      <c r="J11" s="9"/>
      <c r="K11" s="9"/>
      <c r="L11" s="9"/>
    </row>
    <row r="12" spans="1:12" ht="45" customHeight="1" x14ac:dyDescent="0.2">
      <c r="A12" s="190" t="s">
        <v>136</v>
      </c>
      <c r="B12" s="192"/>
      <c r="C12" s="192" t="s">
        <v>235</v>
      </c>
      <c r="D12" s="192"/>
      <c r="E12" s="192"/>
      <c r="F12" s="192"/>
      <c r="H12" s="9"/>
      <c r="I12" s="9"/>
      <c r="J12" s="246" t="s">
        <v>515</v>
      </c>
      <c r="K12" s="9"/>
      <c r="L12" s="9"/>
    </row>
  </sheetData>
  <mergeCells count="1">
    <mergeCell ref="A1:F1"/>
  </mergeCells>
  <phoneticPr fontId="19" type="noConversion"/>
  <hyperlinks>
    <hyperlink ref="D10" r:id="rId1" display="https://obs.itu.edu.tr/public/DersBilgi?bransKodu=GMI&amp;dersNo=384E" xr:uid="{06001517-5AF1-F448-97A2-FCB075218D0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F232F-1F0F-5A48-86D2-C610407D8180}">
  <dimension ref="A1:G46"/>
  <sheetViews>
    <sheetView workbookViewId="0">
      <selection activeCell="B43" sqref="B43"/>
    </sheetView>
  </sheetViews>
  <sheetFormatPr baseColWidth="10" defaultColWidth="0" defaultRowHeight="16" zeroHeight="1" x14ac:dyDescent="0.2"/>
  <cols>
    <col min="1" max="1" width="22.6640625" bestFit="1" customWidth="1"/>
    <col min="2" max="2" width="54.5" bestFit="1" customWidth="1"/>
    <col min="3" max="3" width="3" customWidth="1"/>
    <col min="4" max="4" width="36.6640625" bestFit="1" customWidth="1"/>
    <col min="5" max="6" width="10.83203125" customWidth="1"/>
    <col min="7" max="7" width="15.33203125" bestFit="1" customWidth="1"/>
    <col min="8" max="16384" width="10.83203125" hidden="1"/>
  </cols>
  <sheetData>
    <row r="1" spans="1:4" x14ac:dyDescent="0.2">
      <c r="A1" s="292" t="s">
        <v>275</v>
      </c>
      <c r="B1" s="292"/>
    </row>
    <row r="2" spans="1:4" x14ac:dyDescent="0.2">
      <c r="A2" s="3" t="s">
        <v>276</v>
      </c>
      <c r="B2" s="3" t="s">
        <v>35</v>
      </c>
    </row>
    <row r="3" spans="1:4" x14ac:dyDescent="0.2">
      <c r="A3" s="290" t="s">
        <v>277</v>
      </c>
      <c r="B3" s="151" t="s">
        <v>278</v>
      </c>
      <c r="C3" s="297"/>
      <c r="D3" s="290" t="s">
        <v>279</v>
      </c>
    </row>
    <row r="4" spans="1:4" x14ac:dyDescent="0.2">
      <c r="A4" s="290"/>
      <c r="B4" s="151" t="s">
        <v>280</v>
      </c>
      <c r="C4" s="297"/>
      <c r="D4" s="290"/>
    </row>
    <row r="5" spans="1:4" x14ac:dyDescent="0.2">
      <c r="A5" s="290"/>
      <c r="B5" s="151" t="s">
        <v>281</v>
      </c>
      <c r="C5" s="297"/>
      <c r="D5" s="290"/>
    </row>
    <row r="6" spans="1:4" x14ac:dyDescent="0.2">
      <c r="A6" s="290"/>
      <c r="B6" s="151" t="s">
        <v>282</v>
      </c>
      <c r="C6" s="297"/>
      <c r="D6" s="290"/>
    </row>
    <row r="7" spans="1:4" x14ac:dyDescent="0.2">
      <c r="A7" s="290"/>
      <c r="B7" s="151" t="s">
        <v>283</v>
      </c>
      <c r="C7" s="297"/>
      <c r="D7" s="290"/>
    </row>
    <row r="8" spans="1:4" x14ac:dyDescent="0.2">
      <c r="A8" s="290"/>
      <c r="B8" s="151" t="s">
        <v>335</v>
      </c>
      <c r="C8" s="297"/>
      <c r="D8" s="290"/>
    </row>
    <row r="9" spans="1:4" x14ac:dyDescent="0.2">
      <c r="A9" s="290"/>
      <c r="B9" s="151" t="s">
        <v>284</v>
      </c>
      <c r="C9" s="297"/>
      <c r="D9" s="290"/>
    </row>
    <row r="10" spans="1:4" x14ac:dyDescent="0.2">
      <c r="A10" s="290"/>
      <c r="B10" s="151" t="s">
        <v>631</v>
      </c>
      <c r="C10" s="297"/>
      <c r="D10" s="290"/>
    </row>
    <row r="11" spans="1:4" x14ac:dyDescent="0.2">
      <c r="A11" s="298" t="s">
        <v>285</v>
      </c>
      <c r="B11" s="5" t="s">
        <v>278</v>
      </c>
      <c r="D11" s="298" t="s">
        <v>279</v>
      </c>
    </row>
    <row r="12" spans="1:4" x14ac:dyDescent="0.2">
      <c r="A12" s="299"/>
      <c r="B12" s="5" t="s">
        <v>286</v>
      </c>
      <c r="D12" s="299"/>
    </row>
    <row r="13" spans="1:4" x14ac:dyDescent="0.2">
      <c r="A13" s="299"/>
      <c r="B13" s="5" t="s">
        <v>287</v>
      </c>
      <c r="D13" s="299"/>
    </row>
    <row r="14" spans="1:4" x14ac:dyDescent="0.2">
      <c r="A14" s="299"/>
      <c r="B14" s="5" t="s">
        <v>288</v>
      </c>
      <c r="D14" s="299"/>
    </row>
    <row r="15" spans="1:4" x14ac:dyDescent="0.2">
      <c r="A15" s="299"/>
      <c r="B15" s="5" t="s">
        <v>289</v>
      </c>
      <c r="D15" s="299"/>
    </row>
    <row r="16" spans="1:4" x14ac:dyDescent="0.2">
      <c r="A16" s="300"/>
      <c r="B16" s="151" t="s">
        <v>632</v>
      </c>
      <c r="D16" s="300"/>
    </row>
    <row r="17" spans="1:4" x14ac:dyDescent="0.2">
      <c r="A17" s="287" t="s">
        <v>290</v>
      </c>
      <c r="B17" s="151" t="s">
        <v>291</v>
      </c>
      <c r="D17" s="290" t="s">
        <v>279</v>
      </c>
    </row>
    <row r="18" spans="1:4" x14ac:dyDescent="0.2">
      <c r="A18" s="288"/>
      <c r="B18" s="151" t="s">
        <v>292</v>
      </c>
      <c r="D18" s="290"/>
    </row>
    <row r="19" spans="1:4" x14ac:dyDescent="0.2">
      <c r="A19" s="288"/>
      <c r="B19" s="151" t="s">
        <v>293</v>
      </c>
      <c r="D19" s="290"/>
    </row>
    <row r="20" spans="1:4" x14ac:dyDescent="0.2">
      <c r="A20" s="289"/>
      <c r="B20" s="151" t="s">
        <v>336</v>
      </c>
      <c r="D20" s="290"/>
    </row>
    <row r="21" spans="1:4" x14ac:dyDescent="0.2">
      <c r="A21" s="291" t="s">
        <v>294</v>
      </c>
      <c r="B21" s="5" t="s">
        <v>295</v>
      </c>
      <c r="D21" s="292"/>
    </row>
    <row r="22" spans="1:4" x14ac:dyDescent="0.2">
      <c r="A22" s="291"/>
      <c r="B22" s="5" t="s">
        <v>296</v>
      </c>
      <c r="D22" s="292"/>
    </row>
    <row r="23" spans="1:4" x14ac:dyDescent="0.2">
      <c r="A23" s="291"/>
      <c r="B23" s="5" t="s">
        <v>297</v>
      </c>
      <c r="D23" s="292"/>
    </row>
    <row r="24" spans="1:4" x14ac:dyDescent="0.2">
      <c r="A24" s="291"/>
      <c r="B24" s="5" t="s">
        <v>298</v>
      </c>
      <c r="D24" s="292"/>
    </row>
    <row r="25" spans="1:4" x14ac:dyDescent="0.2">
      <c r="A25" s="291"/>
      <c r="B25" s="5" t="s">
        <v>299</v>
      </c>
      <c r="D25" s="292"/>
    </row>
    <row r="26" spans="1:4" x14ac:dyDescent="0.2">
      <c r="A26" s="291"/>
      <c r="B26" s="5" t="s">
        <v>300</v>
      </c>
      <c r="D26" s="292"/>
    </row>
    <row r="27" spans="1:4" x14ac:dyDescent="0.2">
      <c r="A27" s="291"/>
      <c r="B27" s="5" t="s">
        <v>351</v>
      </c>
      <c r="D27" s="292"/>
    </row>
    <row r="28" spans="1:4" x14ac:dyDescent="0.2">
      <c r="A28" s="293" t="s">
        <v>8</v>
      </c>
      <c r="B28" s="151" t="s">
        <v>301</v>
      </c>
      <c r="D28" s="292"/>
    </row>
    <row r="29" spans="1:4" x14ac:dyDescent="0.2">
      <c r="A29" s="294"/>
      <c r="B29" s="152" t="s">
        <v>302</v>
      </c>
      <c r="D29" s="292"/>
    </row>
    <row r="30" spans="1:4" x14ac:dyDescent="0.2">
      <c r="A30" s="294"/>
      <c r="B30" s="151" t="s">
        <v>303</v>
      </c>
      <c r="D30" s="292"/>
    </row>
    <row r="31" spans="1:4" x14ac:dyDescent="0.2">
      <c r="A31" s="294"/>
      <c r="B31" s="151" t="s">
        <v>436</v>
      </c>
      <c r="D31" s="292"/>
    </row>
    <row r="32" spans="1:4" x14ac:dyDescent="0.2">
      <c r="A32" s="295"/>
      <c r="B32" s="151" t="s">
        <v>337</v>
      </c>
      <c r="D32" s="296"/>
    </row>
    <row r="33" spans="1:7" x14ac:dyDescent="0.2">
      <c r="A33" s="281" t="s">
        <v>93</v>
      </c>
      <c r="B33" s="153" t="s">
        <v>304</v>
      </c>
      <c r="D33" s="284" t="s">
        <v>305</v>
      </c>
      <c r="E33" s="284"/>
      <c r="F33" s="284"/>
    </row>
    <row r="34" spans="1:7" x14ac:dyDescent="0.2">
      <c r="A34" s="282"/>
      <c r="B34" s="153" t="s">
        <v>306</v>
      </c>
      <c r="D34" s="9" t="s">
        <v>28</v>
      </c>
      <c r="E34" s="9" t="s">
        <v>26</v>
      </c>
      <c r="F34" s="9" t="s">
        <v>29</v>
      </c>
    </row>
    <row r="35" spans="1:7" x14ac:dyDescent="0.2">
      <c r="A35" s="282"/>
      <c r="B35" s="153" t="s">
        <v>307</v>
      </c>
      <c r="D35" s="9" t="s">
        <v>25</v>
      </c>
      <c r="E35" s="9" t="s">
        <v>26</v>
      </c>
      <c r="F35" s="9" t="s">
        <v>23</v>
      </c>
    </row>
    <row r="36" spans="1:7" x14ac:dyDescent="0.2">
      <c r="A36" s="282"/>
      <c r="B36" s="153"/>
      <c r="D36" s="9" t="s">
        <v>31</v>
      </c>
      <c r="E36" s="9" t="s">
        <v>20</v>
      </c>
      <c r="F36" s="9" t="s">
        <v>29</v>
      </c>
    </row>
    <row r="37" spans="1:7" x14ac:dyDescent="0.2">
      <c r="A37" s="282"/>
      <c r="B37" s="153"/>
      <c r="D37" s="9" t="s">
        <v>17</v>
      </c>
      <c r="E37" s="9" t="s">
        <v>20</v>
      </c>
      <c r="F37" s="9" t="s">
        <v>23</v>
      </c>
    </row>
    <row r="38" spans="1:7" x14ac:dyDescent="0.2">
      <c r="A38" s="283"/>
      <c r="B38" s="153"/>
      <c r="D38" s="9" t="s">
        <v>17</v>
      </c>
      <c r="E38" s="9" t="s">
        <v>20</v>
      </c>
      <c r="F38" s="9" t="s">
        <v>24</v>
      </c>
    </row>
    <row r="39" spans="1:7" x14ac:dyDescent="0.2">
      <c r="A39" s="285" t="s">
        <v>10</v>
      </c>
      <c r="B39" s="154" t="s">
        <v>308</v>
      </c>
      <c r="D39" s="286" t="s">
        <v>305</v>
      </c>
      <c r="E39" s="286"/>
      <c r="F39" s="286"/>
      <c r="G39" s="286"/>
    </row>
    <row r="40" spans="1:7" x14ac:dyDescent="0.2">
      <c r="A40" s="285"/>
      <c r="B40" s="154" t="s">
        <v>306</v>
      </c>
      <c r="D40" s="150" t="s">
        <v>86</v>
      </c>
      <c r="E40" s="150" t="s">
        <v>79</v>
      </c>
      <c r="F40" s="150" t="s">
        <v>80</v>
      </c>
      <c r="G40" s="150" t="s">
        <v>82</v>
      </c>
    </row>
    <row r="41" spans="1:7" ht="17" x14ac:dyDescent="0.2">
      <c r="A41" s="285"/>
      <c r="B41" s="154" t="s">
        <v>309</v>
      </c>
      <c r="D41" s="155" t="s">
        <v>87</v>
      </c>
      <c r="E41" s="150" t="s">
        <v>26</v>
      </c>
      <c r="F41" s="150" t="s">
        <v>81</v>
      </c>
      <c r="G41" s="150" t="s">
        <v>83</v>
      </c>
    </row>
    <row r="42" spans="1:7" x14ac:dyDescent="0.2">
      <c r="A42" s="285"/>
      <c r="B42" s="151" t="s">
        <v>310</v>
      </c>
      <c r="D42" s="150" t="s">
        <v>86</v>
      </c>
      <c r="E42" s="150" t="s">
        <v>20</v>
      </c>
      <c r="F42" s="150" t="s">
        <v>80</v>
      </c>
      <c r="G42" s="150" t="s">
        <v>82</v>
      </c>
    </row>
    <row r="43" spans="1:7" ht="17" x14ac:dyDescent="0.2">
      <c r="A43" s="285"/>
      <c r="B43" s="151" t="s">
        <v>633</v>
      </c>
      <c r="D43" s="155" t="s">
        <v>87</v>
      </c>
      <c r="E43" s="150" t="s">
        <v>78</v>
      </c>
      <c r="F43" s="150" t="s">
        <v>81</v>
      </c>
      <c r="G43" s="150" t="s">
        <v>84</v>
      </c>
    </row>
    <row r="44" spans="1:7" ht="17" x14ac:dyDescent="0.2">
      <c r="A44" s="285"/>
      <c r="B44" s="151"/>
      <c r="D44" s="155" t="s">
        <v>87</v>
      </c>
      <c r="E44" s="150" t="s">
        <v>78</v>
      </c>
      <c r="F44" s="150" t="s">
        <v>81</v>
      </c>
      <c r="G44" s="150" t="s">
        <v>85</v>
      </c>
    </row>
    <row r="45" spans="1:7" hidden="1" x14ac:dyDescent="0.2">
      <c r="A45" s="156"/>
    </row>
    <row r="46" spans="1:7" hidden="1" x14ac:dyDescent="0.2">
      <c r="A46" s="156"/>
    </row>
  </sheetData>
  <mergeCells count="16">
    <mergeCell ref="A1:B1"/>
    <mergeCell ref="A3:A10"/>
    <mergeCell ref="C3:C10"/>
    <mergeCell ref="D3:D10"/>
    <mergeCell ref="A11:A16"/>
    <mergeCell ref="D11:D16"/>
    <mergeCell ref="A33:A38"/>
    <mergeCell ref="D33:F33"/>
    <mergeCell ref="A39:A44"/>
    <mergeCell ref="D39:G39"/>
    <mergeCell ref="A17:A20"/>
    <mergeCell ref="D17:D20"/>
    <mergeCell ref="A21:A27"/>
    <mergeCell ref="D21:D27"/>
    <mergeCell ref="A28:A32"/>
    <mergeCell ref="D28:D32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ED2D2-8FB6-BA49-9E3E-1F52282878D0}">
  <dimension ref="A1:L113"/>
  <sheetViews>
    <sheetView topLeftCell="A91" zoomScale="150" zoomScaleNormal="100" workbookViewId="0">
      <selection activeCell="E93" sqref="E93:E100"/>
    </sheetView>
  </sheetViews>
  <sheetFormatPr baseColWidth="10" defaultRowHeight="16" x14ac:dyDescent="0.2"/>
  <cols>
    <col min="1" max="1" width="7.33203125" style="7" customWidth="1"/>
    <col min="2" max="2" width="43.1640625" style="7" bestFit="1" customWidth="1"/>
    <col min="3" max="3" width="12.33203125" style="40" customWidth="1"/>
    <col min="4" max="4" width="25.33203125" style="7" customWidth="1"/>
    <col min="5" max="5" width="9.5" style="40" bestFit="1" customWidth="1"/>
    <col min="6" max="6" width="9.83203125" style="7" bestFit="1" customWidth="1"/>
    <col min="7" max="8" width="10.83203125" style="7"/>
    <col min="9" max="9" width="4.83203125" style="7" customWidth="1"/>
    <col min="10" max="10" width="54.83203125" style="7" customWidth="1"/>
    <col min="11" max="11" width="32.83203125" style="7" bestFit="1" customWidth="1"/>
    <col min="12" max="16384" width="10.83203125" style="7"/>
  </cols>
  <sheetData>
    <row r="1" spans="1:12" s="36" customFormat="1" x14ac:dyDescent="0.2">
      <c r="A1" s="8" t="s">
        <v>13</v>
      </c>
      <c r="B1" s="18" t="s">
        <v>14</v>
      </c>
      <c r="C1" s="18" t="s">
        <v>1</v>
      </c>
      <c r="D1" s="18" t="s">
        <v>0</v>
      </c>
      <c r="E1" s="18" t="s">
        <v>15</v>
      </c>
      <c r="I1" s="301" t="s">
        <v>47</v>
      </c>
      <c r="J1" s="301"/>
    </row>
    <row r="2" spans="1:12" x14ac:dyDescent="0.2">
      <c r="A2" s="8">
        <v>1</v>
      </c>
      <c r="B2" s="9" t="s">
        <v>133</v>
      </c>
      <c r="C2" s="39">
        <v>5</v>
      </c>
      <c r="D2" s="64">
        <v>45859</v>
      </c>
      <c r="E2" s="39">
        <v>4</v>
      </c>
      <c r="F2" s="304">
        <f>SUM(E2:E16)</f>
        <v>82</v>
      </c>
      <c r="I2" s="39">
        <v>1</v>
      </c>
      <c r="J2" s="9" t="s">
        <v>52</v>
      </c>
    </row>
    <row r="3" spans="1:12" x14ac:dyDescent="0.2">
      <c r="A3" s="8">
        <v>2</v>
      </c>
      <c r="B3" s="19" t="s">
        <v>97</v>
      </c>
      <c r="C3" s="39"/>
      <c r="D3" s="64">
        <v>45859</v>
      </c>
      <c r="E3" s="39">
        <v>2</v>
      </c>
      <c r="F3" s="304"/>
      <c r="I3" s="39">
        <v>2</v>
      </c>
      <c r="J3" s="9" t="s">
        <v>54</v>
      </c>
    </row>
    <row r="4" spans="1:12" x14ac:dyDescent="0.2">
      <c r="A4" s="8">
        <v>3</v>
      </c>
      <c r="B4" s="19" t="s">
        <v>97</v>
      </c>
      <c r="C4" s="39"/>
      <c r="D4" s="64">
        <v>45860</v>
      </c>
      <c r="E4" s="39">
        <v>2</v>
      </c>
      <c r="F4" s="304"/>
      <c r="I4" s="39">
        <v>3</v>
      </c>
      <c r="J4" s="9" t="s">
        <v>53</v>
      </c>
    </row>
    <row r="5" spans="1:12" x14ac:dyDescent="0.2">
      <c r="A5" s="8">
        <v>4</v>
      </c>
      <c r="B5" s="9" t="s">
        <v>133</v>
      </c>
      <c r="C5" s="39">
        <v>5</v>
      </c>
      <c r="D5" s="64">
        <v>45861</v>
      </c>
      <c r="E5" s="39">
        <v>4</v>
      </c>
      <c r="F5" s="304"/>
      <c r="I5" s="39">
        <v>4</v>
      </c>
      <c r="J5" s="9" t="s">
        <v>220</v>
      </c>
    </row>
    <row r="6" spans="1:12" x14ac:dyDescent="0.2">
      <c r="A6" s="8">
        <v>5</v>
      </c>
      <c r="B6" s="9" t="s">
        <v>128</v>
      </c>
      <c r="C6" s="39" t="s">
        <v>100</v>
      </c>
      <c r="D6" s="64">
        <v>45862</v>
      </c>
      <c r="E6" s="39">
        <v>6</v>
      </c>
      <c r="F6" s="304"/>
      <c r="I6" s="39">
        <v>5</v>
      </c>
      <c r="J6" s="9" t="s">
        <v>210</v>
      </c>
      <c r="K6" s="9" t="s">
        <v>213</v>
      </c>
    </row>
    <row r="7" spans="1:12" x14ac:dyDescent="0.2">
      <c r="A7" s="8">
        <v>6</v>
      </c>
      <c r="B7" s="9" t="s">
        <v>133</v>
      </c>
      <c r="C7" s="39">
        <v>5</v>
      </c>
      <c r="D7" s="64">
        <v>45862</v>
      </c>
      <c r="E7" s="39">
        <v>4</v>
      </c>
      <c r="F7" s="304"/>
      <c r="I7" s="39">
        <v>6</v>
      </c>
      <c r="J7" s="9" t="s">
        <v>324</v>
      </c>
      <c r="K7" s="9" t="s">
        <v>212</v>
      </c>
    </row>
    <row r="8" spans="1:12" x14ac:dyDescent="0.2">
      <c r="A8" s="8">
        <v>7</v>
      </c>
      <c r="B8" s="19" t="s">
        <v>97</v>
      </c>
      <c r="C8" s="39"/>
      <c r="D8" s="64">
        <v>45863</v>
      </c>
      <c r="E8" s="39">
        <v>2</v>
      </c>
      <c r="F8" s="304"/>
      <c r="I8" s="40"/>
    </row>
    <row r="9" spans="1:12" x14ac:dyDescent="0.2">
      <c r="A9" s="8">
        <v>8</v>
      </c>
      <c r="B9" s="33" t="s">
        <v>129</v>
      </c>
      <c r="C9" s="39" t="s">
        <v>100</v>
      </c>
      <c r="D9" s="68">
        <v>45864</v>
      </c>
      <c r="E9" s="45">
        <v>10</v>
      </c>
      <c r="F9" s="304"/>
    </row>
    <row r="10" spans="1:12" x14ac:dyDescent="0.2">
      <c r="A10" s="8">
        <v>9</v>
      </c>
      <c r="B10" s="32" t="s">
        <v>129</v>
      </c>
      <c r="C10" s="39" t="s">
        <v>100</v>
      </c>
      <c r="D10" s="68">
        <v>45865</v>
      </c>
      <c r="E10" s="45">
        <v>10</v>
      </c>
      <c r="F10" s="304"/>
      <c r="I10" s="74" t="s">
        <v>184</v>
      </c>
      <c r="J10" s="74" t="s">
        <v>338</v>
      </c>
    </row>
    <row r="11" spans="1:12" x14ac:dyDescent="0.2">
      <c r="A11" s="8">
        <v>10</v>
      </c>
      <c r="B11" s="9" t="s">
        <v>128</v>
      </c>
      <c r="C11" s="39" t="s">
        <v>100</v>
      </c>
      <c r="D11" s="64">
        <v>45866</v>
      </c>
      <c r="E11" s="39">
        <v>6</v>
      </c>
      <c r="F11" s="304"/>
      <c r="I11" s="7" t="s">
        <v>184</v>
      </c>
      <c r="J11" s="305" t="s">
        <v>434</v>
      </c>
      <c r="K11" s="305"/>
      <c r="L11" s="305"/>
    </row>
    <row r="12" spans="1:12" x14ac:dyDescent="0.2">
      <c r="A12" s="8">
        <v>11</v>
      </c>
      <c r="B12" s="9" t="s">
        <v>133</v>
      </c>
      <c r="C12" s="39">
        <v>2</v>
      </c>
      <c r="D12" s="64">
        <v>45867</v>
      </c>
      <c r="E12" s="39">
        <v>2</v>
      </c>
      <c r="F12" s="304"/>
    </row>
    <row r="13" spans="1:12" x14ac:dyDescent="0.2">
      <c r="A13" s="8">
        <v>12</v>
      </c>
      <c r="B13" s="32" t="s">
        <v>127</v>
      </c>
      <c r="C13" s="98" t="s">
        <v>100</v>
      </c>
      <c r="D13" s="64">
        <v>45869</v>
      </c>
      <c r="E13" s="39">
        <v>8</v>
      </c>
      <c r="F13" s="304"/>
    </row>
    <row r="14" spans="1:12" x14ac:dyDescent="0.2">
      <c r="A14" s="8">
        <v>13</v>
      </c>
      <c r="B14" s="9" t="s">
        <v>130</v>
      </c>
      <c r="C14" s="98" t="s">
        <v>100</v>
      </c>
      <c r="D14" s="68">
        <v>45872</v>
      </c>
      <c r="E14" s="45">
        <v>8</v>
      </c>
      <c r="F14" s="304"/>
    </row>
    <row r="15" spans="1:12" x14ac:dyDescent="0.2">
      <c r="A15" s="8">
        <v>14</v>
      </c>
      <c r="B15" s="19" t="s">
        <v>97</v>
      </c>
      <c r="C15" s="39" t="s">
        <v>185</v>
      </c>
      <c r="D15" s="68">
        <v>45872</v>
      </c>
      <c r="E15" s="45">
        <v>12</v>
      </c>
      <c r="F15" s="304"/>
    </row>
    <row r="16" spans="1:12" ht="17" thickBot="1" x14ac:dyDescent="0.25">
      <c r="A16" s="124">
        <v>15</v>
      </c>
      <c r="B16" s="125" t="s">
        <v>98</v>
      </c>
      <c r="C16" s="119">
        <v>2</v>
      </c>
      <c r="D16" s="120">
        <v>45872</v>
      </c>
      <c r="E16" s="121">
        <v>2</v>
      </c>
      <c r="F16" s="304"/>
    </row>
    <row r="17" spans="1:6" ht="17" thickTop="1" x14ac:dyDescent="0.2">
      <c r="A17" s="122">
        <v>16</v>
      </c>
      <c r="B17" s="114" t="s">
        <v>89</v>
      </c>
      <c r="C17" s="112">
        <v>4</v>
      </c>
      <c r="D17" s="123">
        <v>45931</v>
      </c>
      <c r="E17" s="112">
        <v>3</v>
      </c>
      <c r="F17" s="304">
        <f>SUM(E17:E56)</f>
        <v>136</v>
      </c>
    </row>
    <row r="18" spans="1:6" x14ac:dyDescent="0.2">
      <c r="A18" s="8">
        <v>17</v>
      </c>
      <c r="B18" s="86" t="s">
        <v>109</v>
      </c>
      <c r="C18" s="39" t="s">
        <v>100</v>
      </c>
      <c r="D18" s="68">
        <v>45942</v>
      </c>
      <c r="E18" s="45">
        <v>4</v>
      </c>
      <c r="F18" s="304"/>
    </row>
    <row r="19" spans="1:6" x14ac:dyDescent="0.2">
      <c r="A19" s="8">
        <v>18</v>
      </c>
      <c r="B19" s="37" t="s">
        <v>110</v>
      </c>
      <c r="C19" s="39" t="s">
        <v>100</v>
      </c>
      <c r="D19" s="50" t="s">
        <v>111</v>
      </c>
      <c r="E19" s="39">
        <v>20</v>
      </c>
      <c r="F19" s="304"/>
    </row>
    <row r="20" spans="1:6" x14ac:dyDescent="0.2">
      <c r="A20" s="8">
        <v>19</v>
      </c>
      <c r="B20" s="9" t="s">
        <v>132</v>
      </c>
      <c r="C20" s="39" t="s">
        <v>105</v>
      </c>
      <c r="D20" s="64">
        <v>45951</v>
      </c>
      <c r="E20" s="39">
        <v>3</v>
      </c>
      <c r="F20" s="304"/>
    </row>
    <row r="21" spans="1:6" x14ac:dyDescent="0.2">
      <c r="A21" s="8">
        <v>20</v>
      </c>
      <c r="B21" s="9" t="s">
        <v>181</v>
      </c>
      <c r="C21" s="39"/>
      <c r="D21" s="64">
        <v>45953</v>
      </c>
      <c r="E21" s="39">
        <v>2</v>
      </c>
      <c r="F21" s="304"/>
    </row>
    <row r="22" spans="1:6" x14ac:dyDescent="0.2">
      <c r="A22" s="8">
        <v>21</v>
      </c>
      <c r="B22" s="9" t="s">
        <v>207</v>
      </c>
      <c r="C22" s="39" t="s">
        <v>200</v>
      </c>
      <c r="D22" s="64">
        <v>45966</v>
      </c>
      <c r="E22" s="39">
        <v>1</v>
      </c>
      <c r="F22" s="304"/>
    </row>
    <row r="23" spans="1:6" x14ac:dyDescent="0.2">
      <c r="A23" s="8">
        <v>22</v>
      </c>
      <c r="B23" s="9" t="s">
        <v>204</v>
      </c>
      <c r="C23" s="39" t="s">
        <v>107</v>
      </c>
      <c r="D23" s="64">
        <v>45971</v>
      </c>
      <c r="E23" s="39">
        <v>1</v>
      </c>
      <c r="F23" s="304"/>
    </row>
    <row r="24" spans="1:6" x14ac:dyDescent="0.2">
      <c r="A24" s="8">
        <v>23</v>
      </c>
      <c r="B24" s="9" t="s">
        <v>208</v>
      </c>
      <c r="C24" s="100" t="s">
        <v>388</v>
      </c>
      <c r="D24" s="68">
        <v>45971</v>
      </c>
      <c r="E24" s="45">
        <v>2</v>
      </c>
      <c r="F24" s="304"/>
    </row>
    <row r="25" spans="1:6" x14ac:dyDescent="0.2">
      <c r="A25" s="8">
        <v>24</v>
      </c>
      <c r="B25" s="9" t="s">
        <v>207</v>
      </c>
      <c r="C25" s="17" t="s">
        <v>104</v>
      </c>
      <c r="D25" s="64">
        <v>45972</v>
      </c>
      <c r="E25" s="39">
        <v>2</v>
      </c>
      <c r="F25" s="304"/>
    </row>
    <row r="26" spans="1:6" x14ac:dyDescent="0.2">
      <c r="A26" s="8">
        <v>25</v>
      </c>
      <c r="B26" s="66" t="s">
        <v>247</v>
      </c>
      <c r="C26" s="17" t="s">
        <v>359</v>
      </c>
      <c r="D26" s="68">
        <v>45972</v>
      </c>
      <c r="E26" s="45">
        <v>4</v>
      </c>
      <c r="F26" s="304"/>
    </row>
    <row r="27" spans="1:6" x14ac:dyDescent="0.2">
      <c r="A27" s="8">
        <v>26</v>
      </c>
      <c r="B27" s="9" t="s">
        <v>273</v>
      </c>
      <c r="C27" s="101" t="s">
        <v>240</v>
      </c>
      <c r="D27" s="51">
        <v>45973</v>
      </c>
      <c r="E27" s="39">
        <v>3</v>
      </c>
      <c r="F27" s="304"/>
    </row>
    <row r="28" spans="1:6" x14ac:dyDescent="0.2">
      <c r="A28" s="8">
        <v>27</v>
      </c>
      <c r="B28" s="9" t="s">
        <v>273</v>
      </c>
      <c r="C28" s="101" t="s">
        <v>240</v>
      </c>
      <c r="D28" s="51">
        <v>45974</v>
      </c>
      <c r="E28" s="39">
        <v>3</v>
      </c>
      <c r="F28" s="304"/>
    </row>
    <row r="29" spans="1:6" x14ac:dyDescent="0.2">
      <c r="A29" s="8">
        <v>28</v>
      </c>
      <c r="B29" s="9" t="s">
        <v>274</v>
      </c>
      <c r="C29" s="101" t="s">
        <v>100</v>
      </c>
      <c r="D29" s="108">
        <v>45977</v>
      </c>
      <c r="E29" s="45">
        <v>6</v>
      </c>
      <c r="F29" s="304"/>
    </row>
    <row r="30" spans="1:6" x14ac:dyDescent="0.2">
      <c r="A30" s="8">
        <v>29</v>
      </c>
      <c r="B30" s="9" t="s">
        <v>207</v>
      </c>
      <c r="C30" s="17" t="s">
        <v>104</v>
      </c>
      <c r="D30" s="64">
        <v>45979</v>
      </c>
      <c r="E30" s="39">
        <v>2</v>
      </c>
      <c r="F30" s="304"/>
    </row>
    <row r="31" spans="1:6" x14ac:dyDescent="0.2">
      <c r="A31" s="8">
        <v>30</v>
      </c>
      <c r="B31" s="9" t="s">
        <v>261</v>
      </c>
      <c r="C31" s="39" t="s">
        <v>104</v>
      </c>
      <c r="D31" s="68">
        <v>45990</v>
      </c>
      <c r="E31" s="45">
        <v>3</v>
      </c>
      <c r="F31" s="304"/>
    </row>
    <row r="32" spans="1:6" x14ac:dyDescent="0.2">
      <c r="A32" s="8">
        <v>31</v>
      </c>
      <c r="B32" s="9" t="s">
        <v>333</v>
      </c>
      <c r="C32" s="39" t="s">
        <v>332</v>
      </c>
      <c r="D32" s="51">
        <v>45980</v>
      </c>
      <c r="E32" s="39">
        <v>2</v>
      </c>
      <c r="F32" s="304"/>
    </row>
    <row r="33" spans="1:6" x14ac:dyDescent="0.2">
      <c r="A33" s="8">
        <v>32</v>
      </c>
      <c r="B33" s="9" t="s">
        <v>334</v>
      </c>
      <c r="C33" s="39"/>
      <c r="D33" s="64">
        <v>45999</v>
      </c>
      <c r="E33" s="39">
        <v>1</v>
      </c>
      <c r="F33" s="304"/>
    </row>
    <row r="34" spans="1:6" x14ac:dyDescent="0.2">
      <c r="A34" s="8">
        <v>33</v>
      </c>
      <c r="B34" s="9" t="s">
        <v>207</v>
      </c>
      <c r="C34" s="17" t="s">
        <v>104</v>
      </c>
      <c r="D34" s="64">
        <v>45993</v>
      </c>
      <c r="E34" s="39">
        <v>2</v>
      </c>
      <c r="F34" s="304"/>
    </row>
    <row r="35" spans="1:6" x14ac:dyDescent="0.2">
      <c r="A35" s="8">
        <v>34</v>
      </c>
      <c r="B35" s="9" t="s">
        <v>207</v>
      </c>
      <c r="C35" s="17" t="s">
        <v>107</v>
      </c>
      <c r="D35" s="64">
        <v>46000</v>
      </c>
      <c r="E35" s="39">
        <v>1</v>
      </c>
      <c r="F35" s="304"/>
    </row>
    <row r="36" spans="1:6" x14ac:dyDescent="0.2">
      <c r="A36" s="8">
        <v>35</v>
      </c>
      <c r="B36" s="9" t="s">
        <v>333</v>
      </c>
      <c r="C36" s="39" t="s">
        <v>332</v>
      </c>
      <c r="D36" s="51">
        <v>46000</v>
      </c>
      <c r="E36" s="39">
        <v>2</v>
      </c>
      <c r="F36" s="304"/>
    </row>
    <row r="37" spans="1:6" x14ac:dyDescent="0.2">
      <c r="A37" s="8">
        <v>36</v>
      </c>
      <c r="B37" s="9" t="s">
        <v>207</v>
      </c>
      <c r="C37" s="17" t="s">
        <v>104</v>
      </c>
      <c r="D37" s="64">
        <v>46007</v>
      </c>
      <c r="E37" s="39">
        <v>2</v>
      </c>
      <c r="F37" s="304"/>
    </row>
    <row r="38" spans="1:6" x14ac:dyDescent="0.2">
      <c r="A38" s="8">
        <v>37</v>
      </c>
      <c r="B38" s="9" t="s">
        <v>132</v>
      </c>
      <c r="C38" s="39" t="s">
        <v>317</v>
      </c>
      <c r="D38" s="108">
        <v>46008</v>
      </c>
      <c r="E38" s="45">
        <v>2</v>
      </c>
      <c r="F38" s="304"/>
    </row>
    <row r="39" spans="1:6" x14ac:dyDescent="0.2">
      <c r="A39" s="8">
        <v>38</v>
      </c>
      <c r="B39" s="9" t="s">
        <v>207</v>
      </c>
      <c r="C39" s="17" t="s">
        <v>385</v>
      </c>
      <c r="D39" s="64">
        <v>46014</v>
      </c>
      <c r="E39" s="39">
        <v>2</v>
      </c>
      <c r="F39" s="304"/>
    </row>
    <row r="40" spans="1:6" x14ac:dyDescent="0.2">
      <c r="A40" s="8">
        <v>39</v>
      </c>
      <c r="B40" s="9" t="s">
        <v>386</v>
      </c>
      <c r="C40" s="39" t="s">
        <v>387</v>
      </c>
      <c r="D40" s="51" t="s">
        <v>430</v>
      </c>
      <c r="E40" s="39">
        <v>2</v>
      </c>
      <c r="F40" s="304"/>
    </row>
    <row r="41" spans="1:6" x14ac:dyDescent="0.2">
      <c r="A41" s="8">
        <v>40</v>
      </c>
      <c r="B41" s="9" t="s">
        <v>395</v>
      </c>
      <c r="C41" s="39" t="s">
        <v>396</v>
      </c>
      <c r="D41" s="68">
        <v>46015</v>
      </c>
      <c r="E41" s="45">
        <v>3</v>
      </c>
      <c r="F41" s="304"/>
    </row>
    <row r="42" spans="1:6" ht="34" x14ac:dyDescent="0.2">
      <c r="A42" s="8">
        <v>41</v>
      </c>
      <c r="B42" s="19" t="s">
        <v>395</v>
      </c>
      <c r="C42" s="226" t="s">
        <v>419</v>
      </c>
      <c r="D42" s="108">
        <v>46016</v>
      </c>
      <c r="E42" s="45">
        <v>3</v>
      </c>
      <c r="F42" s="304"/>
    </row>
    <row r="43" spans="1:6" x14ac:dyDescent="0.2">
      <c r="A43" s="8">
        <v>42</v>
      </c>
      <c r="B43" s="19" t="s">
        <v>395</v>
      </c>
      <c r="C43" s="39" t="s">
        <v>433</v>
      </c>
      <c r="D43" s="68">
        <v>46017</v>
      </c>
      <c r="E43" s="45">
        <v>2</v>
      </c>
      <c r="F43" s="304"/>
    </row>
    <row r="44" spans="1:6" x14ac:dyDescent="0.2">
      <c r="A44" s="8">
        <v>43</v>
      </c>
      <c r="B44" s="19" t="s">
        <v>395</v>
      </c>
      <c r="C44" s="39" t="s">
        <v>426</v>
      </c>
      <c r="D44" s="68">
        <v>46020</v>
      </c>
      <c r="E44" s="45">
        <v>1</v>
      </c>
      <c r="F44" s="304"/>
    </row>
    <row r="45" spans="1:6" x14ac:dyDescent="0.2">
      <c r="A45" s="8">
        <v>44</v>
      </c>
      <c r="B45" s="9" t="s">
        <v>435</v>
      </c>
      <c r="C45" s="39" t="s">
        <v>104</v>
      </c>
      <c r="D45" s="68">
        <v>46026</v>
      </c>
      <c r="E45" s="45">
        <v>2</v>
      </c>
      <c r="F45" s="304"/>
    </row>
    <row r="46" spans="1:6" x14ac:dyDescent="0.2">
      <c r="A46" s="8">
        <v>45</v>
      </c>
      <c r="B46" s="9" t="s">
        <v>420</v>
      </c>
      <c r="C46" s="39" t="s">
        <v>380</v>
      </c>
      <c r="D46" s="64">
        <v>46027</v>
      </c>
      <c r="E46" s="39">
        <v>1</v>
      </c>
      <c r="F46" s="304"/>
    </row>
    <row r="47" spans="1:6" x14ac:dyDescent="0.2">
      <c r="A47" s="8">
        <v>46</v>
      </c>
      <c r="B47" s="91" t="s">
        <v>347</v>
      </c>
      <c r="C47" s="40" t="s">
        <v>397</v>
      </c>
      <c r="D47" s="228">
        <v>46028</v>
      </c>
      <c r="E47" s="47">
        <v>1</v>
      </c>
      <c r="F47" s="304"/>
    </row>
    <row r="48" spans="1:6" x14ac:dyDescent="0.2">
      <c r="A48" s="8">
        <v>47</v>
      </c>
      <c r="B48" s="9" t="s">
        <v>435</v>
      </c>
      <c r="C48" s="39" t="s">
        <v>107</v>
      </c>
      <c r="D48" s="64">
        <v>46029</v>
      </c>
      <c r="E48" s="39">
        <v>1</v>
      </c>
      <c r="F48" s="304"/>
    </row>
    <row r="49" spans="1:6" x14ac:dyDescent="0.2">
      <c r="A49" s="8">
        <v>48</v>
      </c>
      <c r="B49" s="28" t="s">
        <v>381</v>
      </c>
      <c r="C49" s="39" t="s">
        <v>380</v>
      </c>
      <c r="D49" s="51">
        <v>46031</v>
      </c>
      <c r="E49" s="39">
        <v>2</v>
      </c>
      <c r="F49" s="304"/>
    </row>
    <row r="50" spans="1:6" x14ac:dyDescent="0.2">
      <c r="A50" s="8">
        <v>49</v>
      </c>
      <c r="B50" s="46" t="s">
        <v>463</v>
      </c>
      <c r="C50" s="269" t="s">
        <v>241</v>
      </c>
      <c r="D50" s="64">
        <v>46042</v>
      </c>
      <c r="E50" s="39">
        <v>8</v>
      </c>
      <c r="F50" s="304"/>
    </row>
    <row r="51" spans="1:6" x14ac:dyDescent="0.2">
      <c r="A51" s="8">
        <v>50</v>
      </c>
      <c r="B51" s="46" t="s">
        <v>456</v>
      </c>
      <c r="C51" s="39" t="s">
        <v>462</v>
      </c>
      <c r="D51" s="68">
        <v>46047</v>
      </c>
      <c r="E51" s="45">
        <v>4</v>
      </c>
      <c r="F51" s="304"/>
    </row>
    <row r="52" spans="1:6" x14ac:dyDescent="0.2">
      <c r="A52" s="8">
        <v>51</v>
      </c>
      <c r="B52" s="9" t="s">
        <v>465</v>
      </c>
      <c r="C52" s="39" t="s">
        <v>466</v>
      </c>
      <c r="D52" s="64">
        <v>46048</v>
      </c>
      <c r="E52" s="39">
        <v>1</v>
      </c>
      <c r="F52" s="304"/>
    </row>
    <row r="53" spans="1:6" x14ac:dyDescent="0.2">
      <c r="A53" s="8">
        <v>52</v>
      </c>
      <c r="B53" s="46" t="s">
        <v>456</v>
      </c>
      <c r="C53" s="263" t="s">
        <v>467</v>
      </c>
      <c r="D53" s="64">
        <v>46050</v>
      </c>
      <c r="E53" s="39">
        <v>10</v>
      </c>
      <c r="F53" s="304"/>
    </row>
    <row r="54" spans="1:6" x14ac:dyDescent="0.2">
      <c r="A54" s="8">
        <v>53</v>
      </c>
      <c r="B54" s="46" t="s">
        <v>456</v>
      </c>
      <c r="C54" s="263" t="s">
        <v>470</v>
      </c>
      <c r="D54" s="64">
        <v>46051</v>
      </c>
      <c r="E54" s="39">
        <v>10</v>
      </c>
      <c r="F54" s="304"/>
    </row>
    <row r="55" spans="1:6" x14ac:dyDescent="0.2">
      <c r="A55" s="8">
        <v>54</v>
      </c>
      <c r="B55" s="46" t="s">
        <v>456</v>
      </c>
      <c r="C55" s="263" t="s">
        <v>471</v>
      </c>
      <c r="D55" s="64">
        <v>46052</v>
      </c>
      <c r="E55" s="39">
        <v>10</v>
      </c>
      <c r="F55" s="304"/>
    </row>
    <row r="56" spans="1:6" x14ac:dyDescent="0.2">
      <c r="A56" s="8">
        <v>55</v>
      </c>
      <c r="B56" s="9" t="s">
        <v>456</v>
      </c>
      <c r="C56" s="39" t="s">
        <v>178</v>
      </c>
      <c r="D56" s="68">
        <v>46053</v>
      </c>
      <c r="E56" s="45">
        <v>2</v>
      </c>
      <c r="F56" s="304"/>
    </row>
    <row r="57" spans="1:6" x14ac:dyDescent="0.2">
      <c r="A57" s="8">
        <v>56</v>
      </c>
      <c r="B57" s="9" t="s">
        <v>507</v>
      </c>
      <c r="C57" s="39" t="s">
        <v>508</v>
      </c>
      <c r="D57" s="68">
        <v>46070</v>
      </c>
      <c r="E57" s="45">
        <v>3</v>
      </c>
      <c r="F57" s="304"/>
    </row>
    <row r="58" spans="1:6" x14ac:dyDescent="0.2">
      <c r="A58" s="8">
        <v>57</v>
      </c>
      <c r="B58" s="9" t="s">
        <v>516</v>
      </c>
      <c r="C58" s="39" t="s">
        <v>517</v>
      </c>
      <c r="D58" s="64">
        <v>46071</v>
      </c>
      <c r="E58" s="39">
        <v>1</v>
      </c>
      <c r="F58" s="304"/>
    </row>
    <row r="59" spans="1:6" x14ac:dyDescent="0.2">
      <c r="A59" s="8">
        <v>58</v>
      </c>
      <c r="B59" s="9" t="s">
        <v>132</v>
      </c>
      <c r="C59" s="39" t="s">
        <v>343</v>
      </c>
      <c r="D59" s="64">
        <v>46071</v>
      </c>
      <c r="E59" s="39">
        <v>1</v>
      </c>
      <c r="F59" s="304"/>
    </row>
    <row r="60" spans="1:6" x14ac:dyDescent="0.2">
      <c r="A60" s="8">
        <v>59</v>
      </c>
      <c r="B60" s="9" t="s">
        <v>522</v>
      </c>
      <c r="C60" s="39" t="s">
        <v>449</v>
      </c>
      <c r="D60" s="64">
        <v>46072</v>
      </c>
      <c r="E60" s="39">
        <v>1</v>
      </c>
      <c r="F60" s="304"/>
    </row>
    <row r="61" spans="1:6" x14ac:dyDescent="0.2">
      <c r="A61" s="8">
        <v>60</v>
      </c>
      <c r="B61" s="9" t="s">
        <v>531</v>
      </c>
      <c r="C61" s="17" t="s">
        <v>332</v>
      </c>
      <c r="D61" s="9"/>
      <c r="E61" s="39">
        <v>1</v>
      </c>
      <c r="F61" s="304"/>
    </row>
    <row r="62" spans="1:6" x14ac:dyDescent="0.2">
      <c r="A62" s="8">
        <v>61</v>
      </c>
      <c r="B62" s="9" t="s">
        <v>519</v>
      </c>
      <c r="C62" s="39" t="s">
        <v>520</v>
      </c>
      <c r="D62" s="64">
        <v>46073</v>
      </c>
      <c r="E62" s="39">
        <v>2</v>
      </c>
      <c r="F62" s="304"/>
    </row>
    <row r="63" spans="1:6" x14ac:dyDescent="0.2">
      <c r="A63" s="8">
        <v>62</v>
      </c>
      <c r="B63" s="9" t="s">
        <v>132</v>
      </c>
      <c r="C63" s="39" t="s">
        <v>521</v>
      </c>
      <c r="D63" s="64">
        <v>46078</v>
      </c>
      <c r="E63" s="39">
        <v>1</v>
      </c>
      <c r="F63" s="304"/>
    </row>
    <row r="64" spans="1:6" x14ac:dyDescent="0.2">
      <c r="A64" s="8">
        <v>63</v>
      </c>
      <c r="B64" s="46" t="s">
        <v>525</v>
      </c>
      <c r="C64" s="17" t="s">
        <v>518</v>
      </c>
      <c r="D64" s="51">
        <v>46085</v>
      </c>
      <c r="E64" s="39">
        <v>1</v>
      </c>
      <c r="F64" s="304"/>
    </row>
    <row r="65" spans="1:6" x14ac:dyDescent="0.2">
      <c r="A65" s="8">
        <v>64</v>
      </c>
      <c r="B65" s="9" t="s">
        <v>528</v>
      </c>
      <c r="C65" s="39" t="s">
        <v>527</v>
      </c>
      <c r="D65" s="64">
        <v>46086</v>
      </c>
      <c r="E65" s="39">
        <v>1</v>
      </c>
      <c r="F65" s="304"/>
    </row>
    <row r="66" spans="1:6" x14ac:dyDescent="0.2">
      <c r="A66" s="8">
        <v>65</v>
      </c>
      <c r="B66" s="9" t="s">
        <v>132</v>
      </c>
      <c r="C66" s="39" t="s">
        <v>526</v>
      </c>
      <c r="D66" s="64">
        <v>46087</v>
      </c>
      <c r="E66" s="39">
        <v>2</v>
      </c>
      <c r="F66" s="304"/>
    </row>
    <row r="67" spans="1:6" x14ac:dyDescent="0.2">
      <c r="A67" s="8">
        <v>66</v>
      </c>
      <c r="B67" s="9" t="s">
        <v>553</v>
      </c>
      <c r="C67" s="39" t="s">
        <v>107</v>
      </c>
      <c r="D67" s="64">
        <v>46107</v>
      </c>
      <c r="E67" s="39">
        <v>1</v>
      </c>
      <c r="F67" s="304"/>
    </row>
    <row r="68" spans="1:6" x14ac:dyDescent="0.2">
      <c r="A68" s="8">
        <v>67</v>
      </c>
      <c r="B68" s="9" t="s">
        <v>516</v>
      </c>
      <c r="C68" s="39" t="s">
        <v>576</v>
      </c>
      <c r="D68" s="64">
        <v>46121</v>
      </c>
      <c r="E68" s="39">
        <v>1</v>
      </c>
      <c r="F68" s="304"/>
    </row>
    <row r="69" spans="1:6" x14ac:dyDescent="0.2">
      <c r="A69" s="8">
        <v>68</v>
      </c>
      <c r="B69" s="9" t="s">
        <v>522</v>
      </c>
      <c r="C69" s="39" t="s">
        <v>578</v>
      </c>
      <c r="D69" s="64">
        <v>46125</v>
      </c>
      <c r="E69" s="39">
        <v>1</v>
      </c>
      <c r="F69" s="304"/>
    </row>
    <row r="70" spans="1:6" x14ac:dyDescent="0.2">
      <c r="A70" s="8">
        <v>69</v>
      </c>
      <c r="B70" s="9" t="s">
        <v>579</v>
      </c>
      <c r="C70" s="39" t="s">
        <v>580</v>
      </c>
      <c r="D70" s="262">
        <v>46125</v>
      </c>
      <c r="E70" s="45">
        <v>1</v>
      </c>
      <c r="F70" s="304"/>
    </row>
    <row r="71" spans="1:6" x14ac:dyDescent="0.2">
      <c r="A71" s="8">
        <v>70</v>
      </c>
      <c r="B71" s="9" t="s">
        <v>588</v>
      </c>
      <c r="C71" s="39" t="s">
        <v>552</v>
      </c>
      <c r="D71" s="123">
        <v>46127</v>
      </c>
      <c r="E71" s="39">
        <v>1</v>
      </c>
      <c r="F71" s="304"/>
    </row>
    <row r="72" spans="1:6" x14ac:dyDescent="0.2">
      <c r="A72" s="8">
        <v>71</v>
      </c>
      <c r="B72" s="9" t="s">
        <v>589</v>
      </c>
      <c r="C72" s="39" t="s">
        <v>568</v>
      </c>
      <c r="D72" s="123">
        <v>46128</v>
      </c>
      <c r="E72" s="39">
        <v>1</v>
      </c>
      <c r="F72" s="304"/>
    </row>
    <row r="73" spans="1:6" x14ac:dyDescent="0.2">
      <c r="A73" s="8">
        <v>72</v>
      </c>
      <c r="B73" s="9" t="s">
        <v>516</v>
      </c>
      <c r="C73" s="39" t="s">
        <v>596</v>
      </c>
      <c r="D73" s="123">
        <v>46128</v>
      </c>
      <c r="E73" s="39">
        <v>1</v>
      </c>
      <c r="F73" s="304"/>
    </row>
    <row r="74" spans="1:6" x14ac:dyDescent="0.2">
      <c r="A74" s="8">
        <v>73</v>
      </c>
      <c r="B74" s="9" t="s">
        <v>572</v>
      </c>
      <c r="C74" s="39" t="s">
        <v>542</v>
      </c>
      <c r="D74" s="68">
        <v>45765</v>
      </c>
      <c r="E74" s="45">
        <v>3</v>
      </c>
      <c r="F74" s="304"/>
    </row>
    <row r="75" spans="1:6" x14ac:dyDescent="0.2">
      <c r="A75" s="8">
        <v>74</v>
      </c>
      <c r="B75" s="9" t="s">
        <v>539</v>
      </c>
      <c r="C75" s="17" t="s">
        <v>599</v>
      </c>
      <c r="D75" s="68">
        <v>46131</v>
      </c>
      <c r="E75" s="45">
        <v>2</v>
      </c>
      <c r="F75" s="304"/>
    </row>
    <row r="76" spans="1:6" x14ac:dyDescent="0.2">
      <c r="A76" s="8">
        <v>75</v>
      </c>
      <c r="B76" s="9" t="s">
        <v>522</v>
      </c>
      <c r="C76" s="17" t="s">
        <v>604</v>
      </c>
      <c r="D76" s="68">
        <v>46132</v>
      </c>
      <c r="E76" s="45">
        <v>1</v>
      </c>
      <c r="F76" s="304"/>
    </row>
    <row r="77" spans="1:6" x14ac:dyDescent="0.2">
      <c r="A77" s="8">
        <v>76</v>
      </c>
      <c r="B77" s="9" t="s">
        <v>605</v>
      </c>
      <c r="C77" s="17" t="s">
        <v>606</v>
      </c>
      <c r="D77" s="64">
        <v>46134</v>
      </c>
      <c r="E77" s="39">
        <v>1</v>
      </c>
      <c r="F77" s="304"/>
    </row>
    <row r="78" spans="1:6" x14ac:dyDescent="0.2">
      <c r="A78" s="8">
        <v>77</v>
      </c>
      <c r="B78" s="9" t="s">
        <v>611</v>
      </c>
      <c r="C78" s="17" t="s">
        <v>100</v>
      </c>
      <c r="D78" s="64">
        <v>46134</v>
      </c>
      <c r="E78" s="39">
        <v>3</v>
      </c>
      <c r="F78" s="304"/>
    </row>
    <row r="79" spans="1:6" x14ac:dyDescent="0.2">
      <c r="A79" s="8">
        <v>78</v>
      </c>
      <c r="B79" s="46" t="s">
        <v>566</v>
      </c>
      <c r="C79" s="39">
        <v>1600</v>
      </c>
      <c r="D79" s="64">
        <v>46134</v>
      </c>
      <c r="E79" s="39">
        <v>1</v>
      </c>
      <c r="F79" s="304"/>
    </row>
    <row r="80" spans="1:6" x14ac:dyDescent="0.2">
      <c r="A80" s="8">
        <v>79</v>
      </c>
      <c r="B80" s="9" t="s">
        <v>593</v>
      </c>
      <c r="C80" s="112" t="s">
        <v>542</v>
      </c>
      <c r="D80" s="262">
        <v>46137</v>
      </c>
      <c r="E80" s="45">
        <v>3</v>
      </c>
      <c r="F80" s="304"/>
    </row>
    <row r="81" spans="1:6" x14ac:dyDescent="0.2">
      <c r="A81" s="8">
        <v>80</v>
      </c>
      <c r="B81" s="9" t="s">
        <v>522</v>
      </c>
      <c r="C81" s="112" t="s">
        <v>596</v>
      </c>
      <c r="D81" s="123">
        <v>46139</v>
      </c>
      <c r="E81" s="39">
        <v>1</v>
      </c>
      <c r="F81" s="304"/>
    </row>
    <row r="82" spans="1:6" x14ac:dyDescent="0.2">
      <c r="A82" s="8">
        <v>81</v>
      </c>
      <c r="B82" s="9" t="s">
        <v>574</v>
      </c>
      <c r="C82" s="112" t="s">
        <v>575</v>
      </c>
      <c r="D82" s="123">
        <v>46141</v>
      </c>
      <c r="E82" s="39">
        <v>1</v>
      </c>
      <c r="F82" s="304"/>
    </row>
    <row r="83" spans="1:6" x14ac:dyDescent="0.2">
      <c r="A83" s="8">
        <v>82</v>
      </c>
      <c r="B83" s="9" t="s">
        <v>522</v>
      </c>
      <c r="C83" s="39" t="s">
        <v>635</v>
      </c>
      <c r="D83" s="123">
        <v>46153</v>
      </c>
      <c r="E83" s="39">
        <v>1</v>
      </c>
      <c r="F83" s="304"/>
    </row>
    <row r="84" spans="1:6" x14ac:dyDescent="0.2">
      <c r="A84" s="8">
        <v>83</v>
      </c>
      <c r="B84" s="9" t="s">
        <v>637</v>
      </c>
      <c r="C84" s="39" t="s">
        <v>527</v>
      </c>
      <c r="D84" s="123">
        <v>46153</v>
      </c>
      <c r="E84" s="39">
        <v>1</v>
      </c>
      <c r="F84" s="304"/>
    </row>
    <row r="85" spans="1:6" x14ac:dyDescent="0.2">
      <c r="A85" s="8">
        <v>84</v>
      </c>
      <c r="B85" s="9" t="s">
        <v>636</v>
      </c>
      <c r="C85" s="39" t="s">
        <v>552</v>
      </c>
      <c r="D85" s="123">
        <v>46153</v>
      </c>
      <c r="E85" s="39">
        <v>1</v>
      </c>
      <c r="F85" s="304"/>
    </row>
    <row r="86" spans="1:6" x14ac:dyDescent="0.2">
      <c r="A86" s="8">
        <v>85</v>
      </c>
      <c r="B86" s="9" t="s">
        <v>648</v>
      </c>
      <c r="C86" s="39" t="s">
        <v>634</v>
      </c>
      <c r="D86" s="123">
        <v>46155</v>
      </c>
      <c r="E86" s="211">
        <v>1</v>
      </c>
      <c r="F86" s="304"/>
    </row>
    <row r="87" spans="1:6" x14ac:dyDescent="0.2">
      <c r="A87" s="8">
        <v>86</v>
      </c>
      <c r="B87" s="79" t="s">
        <v>652</v>
      </c>
      <c r="C87" s="39" t="s">
        <v>609</v>
      </c>
      <c r="D87" s="123">
        <v>46156</v>
      </c>
      <c r="E87" s="211">
        <v>2</v>
      </c>
      <c r="F87" s="304"/>
    </row>
    <row r="88" spans="1:6" x14ac:dyDescent="0.2">
      <c r="A88" s="8">
        <v>87</v>
      </c>
      <c r="B88" s="9" t="s">
        <v>637</v>
      </c>
      <c r="C88" s="39" t="s">
        <v>635</v>
      </c>
      <c r="D88" s="123">
        <v>46156</v>
      </c>
      <c r="E88" s="211">
        <v>1</v>
      </c>
      <c r="F88" s="304"/>
    </row>
    <row r="89" spans="1:6" x14ac:dyDescent="0.2">
      <c r="A89" s="8">
        <v>88</v>
      </c>
      <c r="B89" s="19" t="s">
        <v>395</v>
      </c>
      <c r="C89" s="39" t="s">
        <v>649</v>
      </c>
      <c r="D89" s="64">
        <v>46157</v>
      </c>
      <c r="E89" s="39">
        <v>2</v>
      </c>
      <c r="F89" s="304"/>
    </row>
    <row r="90" spans="1:6" x14ac:dyDescent="0.2">
      <c r="A90" s="8">
        <v>89</v>
      </c>
      <c r="B90" s="19" t="s">
        <v>395</v>
      </c>
      <c r="C90" s="39" t="s">
        <v>659</v>
      </c>
      <c r="D90" s="68">
        <v>46157</v>
      </c>
      <c r="E90" s="45">
        <v>3</v>
      </c>
      <c r="F90" s="304"/>
    </row>
    <row r="91" spans="1:6" x14ac:dyDescent="0.2">
      <c r="A91" s="8"/>
      <c r="B91" s="19" t="s">
        <v>395</v>
      </c>
      <c r="C91" s="39" t="s">
        <v>661</v>
      </c>
      <c r="D91" s="68">
        <v>46158</v>
      </c>
      <c r="E91" s="45">
        <v>2</v>
      </c>
      <c r="F91" s="304"/>
    </row>
    <row r="92" spans="1:6" x14ac:dyDescent="0.2">
      <c r="A92" s="8">
        <v>90</v>
      </c>
      <c r="C92" s="7"/>
      <c r="E92" s="7"/>
      <c r="F92" s="304"/>
    </row>
    <row r="93" spans="1:6" x14ac:dyDescent="0.2">
      <c r="A93" s="8">
        <v>91</v>
      </c>
      <c r="B93" s="9" t="s">
        <v>402</v>
      </c>
      <c r="C93" s="17" t="s">
        <v>622</v>
      </c>
      <c r="D93" s="64">
        <v>46174</v>
      </c>
      <c r="E93" s="39">
        <v>1</v>
      </c>
      <c r="F93" s="304"/>
    </row>
    <row r="94" spans="1:6" x14ac:dyDescent="0.2">
      <c r="A94" s="8">
        <v>92</v>
      </c>
      <c r="B94" s="9" t="s">
        <v>646</v>
      </c>
      <c r="C94" s="39" t="s">
        <v>397</v>
      </c>
      <c r="D94" s="64">
        <v>46175</v>
      </c>
      <c r="E94" s="39">
        <v>1</v>
      </c>
      <c r="F94" s="304"/>
    </row>
    <row r="95" spans="1:6" x14ac:dyDescent="0.2">
      <c r="A95" s="8">
        <v>93</v>
      </c>
      <c r="B95" s="9" t="s">
        <v>420</v>
      </c>
      <c r="C95" s="39" t="s">
        <v>606</v>
      </c>
      <c r="D95" s="64">
        <v>46177</v>
      </c>
      <c r="E95" s="39">
        <v>1</v>
      </c>
      <c r="F95" s="304"/>
    </row>
    <row r="96" spans="1:6" x14ac:dyDescent="0.2">
      <c r="A96" s="8">
        <v>94</v>
      </c>
      <c r="B96" s="9" t="s">
        <v>409</v>
      </c>
      <c r="C96" s="39" t="s">
        <v>606</v>
      </c>
      <c r="D96" s="64">
        <v>46178</v>
      </c>
      <c r="E96" s="39">
        <v>1</v>
      </c>
      <c r="F96" s="304"/>
    </row>
    <row r="97" spans="1:6" x14ac:dyDescent="0.2">
      <c r="A97" s="8">
        <v>95</v>
      </c>
      <c r="B97" s="9" t="s">
        <v>398</v>
      </c>
      <c r="C97" s="17" t="s">
        <v>399</v>
      </c>
      <c r="D97" s="68">
        <v>46180</v>
      </c>
      <c r="E97" s="45">
        <v>2</v>
      </c>
      <c r="F97" s="304"/>
    </row>
    <row r="98" spans="1:6" x14ac:dyDescent="0.2">
      <c r="A98" s="8">
        <v>96</v>
      </c>
      <c r="B98" s="9" t="s">
        <v>646</v>
      </c>
      <c r="C98" s="39" t="s">
        <v>606</v>
      </c>
      <c r="D98" s="64">
        <v>46181</v>
      </c>
      <c r="E98" s="39">
        <v>1</v>
      </c>
      <c r="F98" s="304"/>
    </row>
    <row r="99" spans="1:6" x14ac:dyDescent="0.2">
      <c r="A99" s="8">
        <v>97</v>
      </c>
      <c r="B99" s="9" t="s">
        <v>409</v>
      </c>
      <c r="C99" s="17" t="s">
        <v>399</v>
      </c>
      <c r="D99" s="64">
        <v>46181</v>
      </c>
      <c r="E99" s="39">
        <v>1</v>
      </c>
      <c r="F99" s="304"/>
    </row>
    <row r="100" spans="1:6" x14ac:dyDescent="0.2">
      <c r="A100" s="8">
        <v>98</v>
      </c>
      <c r="B100" s="9" t="s">
        <v>270</v>
      </c>
      <c r="C100" s="17" t="s">
        <v>399</v>
      </c>
      <c r="D100" s="68">
        <v>46186</v>
      </c>
      <c r="E100" s="45">
        <v>2</v>
      </c>
      <c r="F100" s="304"/>
    </row>
    <row r="101" spans="1:6" x14ac:dyDescent="0.2">
      <c r="A101" s="8">
        <v>99</v>
      </c>
      <c r="B101" s="9"/>
      <c r="C101" s="39"/>
      <c r="D101" s="64"/>
      <c r="E101" s="39"/>
      <c r="F101" s="304"/>
    </row>
    <row r="102" spans="1:6" x14ac:dyDescent="0.2">
      <c r="A102" s="8">
        <v>100</v>
      </c>
      <c r="B102" s="9"/>
      <c r="C102" s="39"/>
      <c r="D102" s="64"/>
      <c r="E102" s="39"/>
      <c r="F102" s="304"/>
    </row>
    <row r="103" spans="1:6" x14ac:dyDescent="0.2">
      <c r="A103" s="8">
        <v>101</v>
      </c>
      <c r="B103" s="9"/>
      <c r="C103" s="39"/>
      <c r="D103" s="64"/>
      <c r="E103" s="39"/>
      <c r="F103" s="304"/>
    </row>
    <row r="104" spans="1:6" x14ac:dyDescent="0.2">
      <c r="A104" s="8">
        <v>102</v>
      </c>
      <c r="B104" s="9"/>
      <c r="C104" s="39"/>
      <c r="D104" s="64"/>
      <c r="E104" s="39"/>
      <c r="F104" s="304"/>
    </row>
    <row r="105" spans="1:6" x14ac:dyDescent="0.2">
      <c r="A105" s="8">
        <v>103</v>
      </c>
      <c r="B105" s="9"/>
      <c r="C105" s="39"/>
      <c r="D105" s="64"/>
      <c r="E105" s="39"/>
      <c r="F105" s="304"/>
    </row>
    <row r="106" spans="1:6" x14ac:dyDescent="0.2">
      <c r="A106" s="8">
        <v>104</v>
      </c>
      <c r="B106" s="9"/>
      <c r="C106" s="39"/>
      <c r="D106" s="64"/>
      <c r="E106" s="39"/>
      <c r="F106" s="304"/>
    </row>
    <row r="107" spans="1:6" x14ac:dyDescent="0.2">
      <c r="A107" s="8">
        <v>105</v>
      </c>
      <c r="B107" s="9"/>
      <c r="C107" s="39"/>
      <c r="D107" s="64"/>
      <c r="E107" s="39"/>
      <c r="F107" s="304"/>
    </row>
    <row r="108" spans="1:6" x14ac:dyDescent="0.2">
      <c r="C108" s="7"/>
      <c r="E108" s="7"/>
      <c r="F108" s="304"/>
    </row>
    <row r="109" spans="1:6" x14ac:dyDescent="0.2">
      <c r="C109" s="7"/>
      <c r="E109" s="7"/>
      <c r="F109" s="304"/>
    </row>
    <row r="110" spans="1:6" x14ac:dyDescent="0.2">
      <c r="C110" s="7"/>
      <c r="E110" s="7"/>
      <c r="F110" s="304"/>
    </row>
    <row r="111" spans="1:6" x14ac:dyDescent="0.2">
      <c r="C111" s="7"/>
      <c r="E111" s="7"/>
    </row>
    <row r="112" spans="1:6" ht="17" thickBot="1" x14ac:dyDescent="0.25"/>
    <row r="113" spans="1:5" ht="17" thickBot="1" x14ac:dyDescent="0.25">
      <c r="A113" s="302" t="s">
        <v>92</v>
      </c>
      <c r="B113" s="303"/>
      <c r="C113" s="303"/>
      <c r="D113" s="303"/>
      <c r="E113" s="99">
        <f>SUM(E2:E107)</f>
        <v>279</v>
      </c>
    </row>
  </sheetData>
  <mergeCells count="5">
    <mergeCell ref="I1:J1"/>
    <mergeCell ref="A113:D113"/>
    <mergeCell ref="F2:F16"/>
    <mergeCell ref="F17:F110"/>
    <mergeCell ref="J11:L11"/>
  </mergeCells>
  <phoneticPr fontId="19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1B60D-2225-4146-BDEB-64C21AEA8C60}">
  <dimension ref="A1:K99"/>
  <sheetViews>
    <sheetView topLeftCell="B70" zoomScale="139" zoomScaleNormal="100" workbookViewId="0">
      <selection activeCell="H91" sqref="H91"/>
    </sheetView>
  </sheetViews>
  <sheetFormatPr baseColWidth="10" defaultRowHeight="16" x14ac:dyDescent="0.2"/>
  <cols>
    <col min="1" max="1" width="7.33203125" style="7" customWidth="1"/>
    <col min="2" max="2" width="46" style="7" bestFit="1" customWidth="1"/>
    <col min="3" max="3" width="12.33203125" style="47" customWidth="1"/>
    <col min="4" max="4" width="27.33203125" style="7" bestFit="1" customWidth="1"/>
    <col min="5" max="5" width="10.83203125" style="40"/>
    <col min="6" max="8" width="10.83203125" style="7"/>
    <col min="9" max="9" width="4.33203125" style="7" customWidth="1"/>
    <col min="10" max="10" width="24" style="7" bestFit="1" customWidth="1"/>
    <col min="11" max="11" width="59.6640625" style="7" customWidth="1"/>
    <col min="12" max="16384" width="10.83203125" style="7"/>
  </cols>
  <sheetData>
    <row r="1" spans="1:11" s="36" customFormat="1" x14ac:dyDescent="0.2">
      <c r="A1" s="8" t="s">
        <v>13</v>
      </c>
      <c r="B1" s="18" t="s">
        <v>14</v>
      </c>
      <c r="C1" s="18" t="s">
        <v>1</v>
      </c>
      <c r="D1" s="18" t="s">
        <v>0</v>
      </c>
      <c r="E1" s="18" t="s">
        <v>15</v>
      </c>
      <c r="I1" s="301" t="s">
        <v>33</v>
      </c>
      <c r="J1" s="301"/>
      <c r="K1" s="301"/>
    </row>
    <row r="2" spans="1:11" x14ac:dyDescent="0.2">
      <c r="A2" s="8">
        <v>1</v>
      </c>
      <c r="B2" s="37" t="s">
        <v>101</v>
      </c>
      <c r="C2" s="65" t="s">
        <v>106</v>
      </c>
      <c r="D2" s="44">
        <v>45850</v>
      </c>
      <c r="E2" s="45">
        <v>5</v>
      </c>
      <c r="F2" s="304">
        <f>SUM(E2:E14)</f>
        <v>70</v>
      </c>
      <c r="I2" s="9"/>
      <c r="J2" s="9"/>
      <c r="K2" s="8" t="s">
        <v>35</v>
      </c>
    </row>
    <row r="3" spans="1:11" x14ac:dyDescent="0.2">
      <c r="A3" s="8">
        <v>2</v>
      </c>
      <c r="B3" s="37" t="s">
        <v>102</v>
      </c>
      <c r="C3" s="65" t="s">
        <v>104</v>
      </c>
      <c r="D3" s="38">
        <v>45859</v>
      </c>
      <c r="E3" s="39">
        <v>1</v>
      </c>
      <c r="F3" s="304"/>
      <c r="I3" s="9">
        <v>1</v>
      </c>
      <c r="J3" s="9" t="s">
        <v>34</v>
      </c>
      <c r="K3" s="9" t="s">
        <v>37</v>
      </c>
    </row>
    <row r="4" spans="1:11" x14ac:dyDescent="0.2">
      <c r="A4" s="8">
        <v>3</v>
      </c>
      <c r="B4" s="19" t="s">
        <v>97</v>
      </c>
      <c r="C4" s="17"/>
      <c r="D4" s="64">
        <v>45859</v>
      </c>
      <c r="E4" s="39">
        <v>2</v>
      </c>
      <c r="F4" s="304"/>
      <c r="I4" s="9">
        <v>2</v>
      </c>
      <c r="J4" s="9" t="s">
        <v>36</v>
      </c>
      <c r="K4" s="9" t="s">
        <v>38</v>
      </c>
    </row>
    <row r="5" spans="1:11" x14ac:dyDescent="0.2">
      <c r="A5" s="8">
        <v>4</v>
      </c>
      <c r="B5" s="19" t="s">
        <v>97</v>
      </c>
      <c r="C5" s="17"/>
      <c r="D5" s="64">
        <v>45860</v>
      </c>
      <c r="E5" s="39">
        <v>2</v>
      </c>
      <c r="F5" s="304"/>
      <c r="I5" s="9">
        <v>3</v>
      </c>
      <c r="J5" s="9" t="s">
        <v>40</v>
      </c>
      <c r="K5" s="9" t="s">
        <v>39</v>
      </c>
    </row>
    <row r="6" spans="1:11" x14ac:dyDescent="0.2">
      <c r="A6" s="8">
        <v>5</v>
      </c>
      <c r="B6" s="9" t="s">
        <v>133</v>
      </c>
      <c r="C6" s="17">
        <v>5</v>
      </c>
      <c r="D6" s="64">
        <v>45861</v>
      </c>
      <c r="E6" s="39">
        <v>4</v>
      </c>
      <c r="F6" s="304"/>
      <c r="I6" s="9">
        <v>4</v>
      </c>
      <c r="J6" s="9" t="s">
        <v>210</v>
      </c>
      <c r="K6" s="9" t="s">
        <v>213</v>
      </c>
    </row>
    <row r="7" spans="1:11" x14ac:dyDescent="0.2">
      <c r="A7" s="8">
        <v>6</v>
      </c>
      <c r="B7" s="9" t="s">
        <v>128</v>
      </c>
      <c r="C7" s="17" t="s">
        <v>100</v>
      </c>
      <c r="D7" s="64">
        <v>45862</v>
      </c>
      <c r="E7" s="39">
        <v>6</v>
      </c>
      <c r="F7" s="304"/>
      <c r="I7" s="9">
        <v>5</v>
      </c>
      <c r="J7" s="9" t="s">
        <v>211</v>
      </c>
      <c r="K7" s="9" t="s">
        <v>212</v>
      </c>
    </row>
    <row r="8" spans="1:11" x14ac:dyDescent="0.2">
      <c r="A8" s="8">
        <v>7</v>
      </c>
      <c r="B8" s="9" t="s">
        <v>128</v>
      </c>
      <c r="C8" s="72" t="s">
        <v>106</v>
      </c>
      <c r="D8" s="38">
        <v>45863</v>
      </c>
      <c r="E8" s="39">
        <v>6</v>
      </c>
      <c r="F8" s="304"/>
      <c r="I8" s="9">
        <v>6</v>
      </c>
      <c r="J8" s="9" t="s">
        <v>214</v>
      </c>
      <c r="K8" s="9" t="s">
        <v>215</v>
      </c>
    </row>
    <row r="9" spans="1:11" x14ac:dyDescent="0.2">
      <c r="A9" s="8">
        <v>8</v>
      </c>
      <c r="B9" s="9" t="s">
        <v>128</v>
      </c>
      <c r="C9" s="72" t="s">
        <v>106</v>
      </c>
      <c r="D9" s="38">
        <v>45867</v>
      </c>
      <c r="E9" s="39">
        <v>6</v>
      </c>
      <c r="F9" s="304"/>
      <c r="I9" s="9">
        <v>7</v>
      </c>
      <c r="J9" s="9" t="s">
        <v>216</v>
      </c>
      <c r="K9" s="9" t="s">
        <v>217</v>
      </c>
    </row>
    <row r="10" spans="1:11" x14ac:dyDescent="0.2">
      <c r="A10" s="8">
        <v>9</v>
      </c>
      <c r="B10" s="9" t="s">
        <v>128</v>
      </c>
      <c r="C10" s="72" t="s">
        <v>106</v>
      </c>
      <c r="D10" s="38">
        <v>45868</v>
      </c>
      <c r="E10" s="39">
        <v>6</v>
      </c>
      <c r="F10" s="304"/>
    </row>
    <row r="11" spans="1:11" x14ac:dyDescent="0.2">
      <c r="A11" s="8">
        <v>10</v>
      </c>
      <c r="B11" s="32" t="s">
        <v>127</v>
      </c>
      <c r="C11" s="65" t="s">
        <v>106</v>
      </c>
      <c r="D11" s="38">
        <v>45870</v>
      </c>
      <c r="E11" s="39">
        <v>8</v>
      </c>
      <c r="F11" s="304"/>
      <c r="I11" s="261" t="s">
        <v>184</v>
      </c>
      <c r="J11" s="308" t="s">
        <v>434</v>
      </c>
      <c r="K11" s="308"/>
    </row>
    <row r="12" spans="1:11" x14ac:dyDescent="0.2">
      <c r="A12" s="8">
        <v>11</v>
      </c>
      <c r="B12" s="32" t="s">
        <v>129</v>
      </c>
      <c r="C12" s="65" t="s">
        <v>106</v>
      </c>
      <c r="D12" s="44">
        <v>45871</v>
      </c>
      <c r="E12" s="45">
        <v>10</v>
      </c>
      <c r="F12" s="304"/>
      <c r="I12" s="261" t="s">
        <v>184</v>
      </c>
      <c r="J12" s="308"/>
      <c r="K12" s="308"/>
    </row>
    <row r="13" spans="1:11" x14ac:dyDescent="0.2">
      <c r="A13" s="8">
        <v>12</v>
      </c>
      <c r="B13" s="32" t="s">
        <v>129</v>
      </c>
      <c r="C13" s="65" t="s">
        <v>106</v>
      </c>
      <c r="D13" s="44">
        <v>45872</v>
      </c>
      <c r="E13" s="45">
        <v>10</v>
      </c>
      <c r="F13" s="304"/>
      <c r="I13" s="261"/>
      <c r="J13" s="261"/>
      <c r="K13" s="261"/>
    </row>
    <row r="14" spans="1:11" ht="17" thickBot="1" x14ac:dyDescent="0.25">
      <c r="A14" s="124">
        <v>13</v>
      </c>
      <c r="B14" s="128" t="s">
        <v>108</v>
      </c>
      <c r="C14" s="129" t="s">
        <v>104</v>
      </c>
      <c r="D14" s="130">
        <v>45887</v>
      </c>
      <c r="E14" s="119">
        <v>4</v>
      </c>
      <c r="F14" s="304"/>
      <c r="I14" s="261"/>
      <c r="J14" s="261"/>
      <c r="K14" s="261"/>
    </row>
    <row r="15" spans="1:11" ht="17" thickTop="1" x14ac:dyDescent="0.2">
      <c r="A15" s="122">
        <v>14</v>
      </c>
      <c r="B15" s="111" t="s">
        <v>103</v>
      </c>
      <c r="C15" s="126" t="s">
        <v>104</v>
      </c>
      <c r="D15" s="127">
        <v>45916</v>
      </c>
      <c r="E15" s="215">
        <v>1</v>
      </c>
      <c r="F15" s="301">
        <f>SUM(E15:E57)</f>
        <v>115</v>
      </c>
      <c r="I15" s="261"/>
      <c r="J15" s="261"/>
      <c r="K15" s="261"/>
    </row>
    <row r="16" spans="1:11" x14ac:dyDescent="0.2">
      <c r="A16" s="8">
        <v>15</v>
      </c>
      <c r="B16" s="37" t="s">
        <v>103</v>
      </c>
      <c r="C16" s="65" t="s">
        <v>107</v>
      </c>
      <c r="D16" s="38">
        <v>45917</v>
      </c>
      <c r="E16" s="211">
        <v>1</v>
      </c>
      <c r="F16" s="301"/>
      <c r="I16" s="261"/>
      <c r="J16" s="261"/>
      <c r="K16" s="261"/>
    </row>
    <row r="17" spans="1:11" x14ac:dyDescent="0.2">
      <c r="A17" s="8">
        <v>16</v>
      </c>
      <c r="B17" s="37" t="s">
        <v>89</v>
      </c>
      <c r="C17" s="65" t="s">
        <v>104</v>
      </c>
      <c r="D17" s="38">
        <v>45925</v>
      </c>
      <c r="E17" s="211">
        <v>2</v>
      </c>
      <c r="F17" s="301"/>
      <c r="I17" s="261"/>
      <c r="J17" s="261"/>
      <c r="K17" s="261"/>
    </row>
    <row r="18" spans="1:11" x14ac:dyDescent="0.2">
      <c r="A18" s="8">
        <v>17</v>
      </c>
      <c r="B18" s="37" t="s">
        <v>134</v>
      </c>
      <c r="C18" s="65" t="s">
        <v>107</v>
      </c>
      <c r="D18" s="70">
        <v>45936</v>
      </c>
      <c r="E18" s="216">
        <v>1</v>
      </c>
      <c r="F18" s="301"/>
    </row>
    <row r="19" spans="1:11" x14ac:dyDescent="0.2">
      <c r="A19" s="8">
        <v>18</v>
      </c>
      <c r="B19" s="37" t="s">
        <v>134</v>
      </c>
      <c r="C19" s="65" t="s">
        <v>107</v>
      </c>
      <c r="D19" s="70">
        <v>45937</v>
      </c>
      <c r="E19" s="216">
        <v>1</v>
      </c>
      <c r="F19" s="301"/>
    </row>
    <row r="20" spans="1:11" x14ac:dyDescent="0.2">
      <c r="A20" s="8">
        <v>19</v>
      </c>
      <c r="B20" s="37" t="s">
        <v>134</v>
      </c>
      <c r="C20" s="65" t="s">
        <v>107</v>
      </c>
      <c r="D20" s="70">
        <v>45938</v>
      </c>
      <c r="E20" s="216">
        <v>1</v>
      </c>
      <c r="F20" s="301"/>
    </row>
    <row r="21" spans="1:11" x14ac:dyDescent="0.2">
      <c r="A21" s="8">
        <v>20</v>
      </c>
      <c r="B21" s="37" t="s">
        <v>134</v>
      </c>
      <c r="C21" s="65" t="s">
        <v>107</v>
      </c>
      <c r="D21" s="70">
        <v>45939</v>
      </c>
      <c r="E21" s="216">
        <v>1</v>
      </c>
      <c r="F21" s="301"/>
    </row>
    <row r="22" spans="1:11" x14ac:dyDescent="0.2">
      <c r="A22" s="8">
        <v>21</v>
      </c>
      <c r="B22" s="86" t="s">
        <v>109</v>
      </c>
      <c r="C22" s="17" t="s">
        <v>100</v>
      </c>
      <c r="D22" s="68">
        <v>45941</v>
      </c>
      <c r="E22" s="213">
        <v>4</v>
      </c>
      <c r="F22" s="301"/>
    </row>
    <row r="23" spans="1:11" x14ac:dyDescent="0.2">
      <c r="A23" s="8">
        <v>22</v>
      </c>
      <c r="B23" s="37" t="s">
        <v>110</v>
      </c>
      <c r="C23" s="17" t="s">
        <v>100</v>
      </c>
      <c r="D23" s="50" t="s">
        <v>111</v>
      </c>
      <c r="E23" s="211">
        <v>20</v>
      </c>
      <c r="F23" s="301"/>
    </row>
    <row r="24" spans="1:11" x14ac:dyDescent="0.2">
      <c r="A24" s="8">
        <v>23</v>
      </c>
      <c r="B24" s="9" t="s">
        <v>132</v>
      </c>
      <c r="C24" s="17" t="s">
        <v>105</v>
      </c>
      <c r="D24" s="64">
        <v>45951</v>
      </c>
      <c r="E24" s="211">
        <v>3</v>
      </c>
      <c r="F24" s="301"/>
    </row>
    <row r="25" spans="1:11" x14ac:dyDescent="0.2">
      <c r="A25" s="8">
        <v>24</v>
      </c>
      <c r="B25" s="9" t="s">
        <v>183</v>
      </c>
      <c r="C25" s="17" t="s">
        <v>175</v>
      </c>
      <c r="D25" s="64">
        <v>45951</v>
      </c>
      <c r="E25" s="211">
        <v>1</v>
      </c>
      <c r="F25" s="301"/>
    </row>
    <row r="26" spans="1:11" x14ac:dyDescent="0.2">
      <c r="A26" s="8">
        <v>25</v>
      </c>
      <c r="B26" s="9" t="s">
        <v>192</v>
      </c>
      <c r="C26" s="17" t="s">
        <v>107</v>
      </c>
      <c r="D26" s="64">
        <v>45954</v>
      </c>
      <c r="E26" s="211">
        <v>1</v>
      </c>
      <c r="F26" s="301"/>
    </row>
    <row r="27" spans="1:11" x14ac:dyDescent="0.2">
      <c r="A27" s="8">
        <v>26</v>
      </c>
      <c r="B27" s="9" t="s">
        <v>61</v>
      </c>
      <c r="C27" s="17" t="s">
        <v>175</v>
      </c>
      <c r="D27" s="64">
        <v>45964</v>
      </c>
      <c r="E27" s="211">
        <v>1</v>
      </c>
      <c r="F27" s="301"/>
    </row>
    <row r="28" spans="1:11" x14ac:dyDescent="0.2">
      <c r="A28" s="8">
        <v>27</v>
      </c>
      <c r="B28" s="9" t="s">
        <v>194</v>
      </c>
      <c r="C28" s="17" t="s">
        <v>195</v>
      </c>
      <c r="D28" s="50" t="s">
        <v>196</v>
      </c>
      <c r="E28" s="211">
        <v>5</v>
      </c>
      <c r="F28" s="301"/>
    </row>
    <row r="29" spans="1:11" x14ac:dyDescent="0.2">
      <c r="A29" s="8">
        <v>28</v>
      </c>
      <c r="B29" s="9" t="s">
        <v>207</v>
      </c>
      <c r="C29" s="17" t="s">
        <v>200</v>
      </c>
      <c r="D29" s="64">
        <v>45966</v>
      </c>
      <c r="E29" s="211">
        <v>1</v>
      </c>
      <c r="F29" s="301"/>
    </row>
    <row r="30" spans="1:11" x14ac:dyDescent="0.2">
      <c r="A30" s="8">
        <v>29</v>
      </c>
      <c r="B30" s="9" t="s">
        <v>207</v>
      </c>
      <c r="C30" s="17" t="s">
        <v>104</v>
      </c>
      <c r="D30" s="64">
        <v>45972</v>
      </c>
      <c r="E30" s="211">
        <v>2</v>
      </c>
      <c r="F30" s="301"/>
    </row>
    <row r="31" spans="1:11" x14ac:dyDescent="0.2">
      <c r="A31" s="8">
        <v>30</v>
      </c>
      <c r="B31" s="66" t="s">
        <v>247</v>
      </c>
      <c r="C31" s="17" t="s">
        <v>105</v>
      </c>
      <c r="D31" s="64">
        <v>45972</v>
      </c>
      <c r="E31" s="211">
        <v>4</v>
      </c>
      <c r="F31" s="301"/>
    </row>
    <row r="32" spans="1:11" x14ac:dyDescent="0.2">
      <c r="A32" s="8">
        <v>31</v>
      </c>
      <c r="B32" s="74" t="s">
        <v>216</v>
      </c>
      <c r="C32" s="141" t="s">
        <v>178</v>
      </c>
      <c r="D32" s="139" t="s">
        <v>135</v>
      </c>
      <c r="E32" s="217">
        <v>10</v>
      </c>
      <c r="F32" s="301"/>
    </row>
    <row r="33" spans="1:6" x14ac:dyDescent="0.2">
      <c r="A33" s="8">
        <v>32</v>
      </c>
      <c r="B33" s="74" t="s">
        <v>218</v>
      </c>
      <c r="C33" s="141" t="s">
        <v>180</v>
      </c>
      <c r="D33" s="139" t="s">
        <v>223</v>
      </c>
      <c r="E33" s="217">
        <v>15</v>
      </c>
      <c r="F33" s="301"/>
    </row>
    <row r="34" spans="1:6" x14ac:dyDescent="0.2">
      <c r="A34" s="8">
        <v>33</v>
      </c>
      <c r="B34" s="9" t="s">
        <v>251</v>
      </c>
      <c r="C34" s="17" t="s">
        <v>107</v>
      </c>
      <c r="D34" s="64">
        <v>45973</v>
      </c>
      <c r="E34" s="211">
        <v>1</v>
      </c>
      <c r="F34" s="301"/>
    </row>
    <row r="35" spans="1:6" x14ac:dyDescent="0.2">
      <c r="A35" s="8">
        <v>34</v>
      </c>
      <c r="B35" s="79" t="s">
        <v>252</v>
      </c>
      <c r="C35" s="17" t="s">
        <v>178</v>
      </c>
      <c r="D35" s="50">
        <v>45974</v>
      </c>
      <c r="E35" s="211">
        <v>1</v>
      </c>
      <c r="F35" s="301"/>
    </row>
    <row r="36" spans="1:6" x14ac:dyDescent="0.2">
      <c r="A36" s="8">
        <v>35</v>
      </c>
      <c r="B36" s="46" t="s">
        <v>249</v>
      </c>
      <c r="C36" s="17" t="s">
        <v>107</v>
      </c>
      <c r="D36" s="68">
        <v>45974</v>
      </c>
      <c r="E36" s="213">
        <v>2</v>
      </c>
      <c r="F36" s="301"/>
    </row>
    <row r="37" spans="1:6" x14ac:dyDescent="0.2">
      <c r="A37" s="8">
        <v>36</v>
      </c>
      <c r="B37" s="9" t="s">
        <v>263</v>
      </c>
      <c r="C37" s="17" t="s">
        <v>264</v>
      </c>
      <c r="D37" s="64">
        <v>45979</v>
      </c>
      <c r="E37" s="211">
        <v>1</v>
      </c>
      <c r="F37" s="301"/>
    </row>
    <row r="38" spans="1:6" x14ac:dyDescent="0.2">
      <c r="A38" s="8">
        <v>37</v>
      </c>
      <c r="B38" s="9" t="s">
        <v>263</v>
      </c>
      <c r="C38" s="17" t="s">
        <v>264</v>
      </c>
      <c r="D38" s="64">
        <v>45980</v>
      </c>
      <c r="E38" s="211">
        <v>1</v>
      </c>
      <c r="F38" s="301"/>
    </row>
    <row r="39" spans="1:6" x14ac:dyDescent="0.2">
      <c r="A39" s="8">
        <v>38</v>
      </c>
      <c r="B39" s="91" t="s">
        <v>206</v>
      </c>
      <c r="C39" s="222" t="s">
        <v>104</v>
      </c>
      <c r="D39" s="146">
        <v>45991</v>
      </c>
      <c r="E39" s="218">
        <v>3</v>
      </c>
      <c r="F39" s="301"/>
    </row>
    <row r="40" spans="1:6" x14ac:dyDescent="0.2">
      <c r="A40" s="48">
        <v>39</v>
      </c>
      <c r="B40" s="235" t="s">
        <v>325</v>
      </c>
      <c r="C40" s="238" t="s">
        <v>326</v>
      </c>
      <c r="D40" s="239">
        <v>45992</v>
      </c>
      <c r="E40" s="237">
        <v>3</v>
      </c>
      <c r="F40" s="301"/>
    </row>
    <row r="41" spans="1:6" x14ac:dyDescent="0.2">
      <c r="A41" s="8">
        <v>40</v>
      </c>
      <c r="B41" s="46" t="s">
        <v>322</v>
      </c>
      <c r="C41" s="115" t="s">
        <v>327</v>
      </c>
      <c r="D41" s="123">
        <v>45993</v>
      </c>
      <c r="E41" s="215">
        <v>1</v>
      </c>
      <c r="F41" s="301"/>
    </row>
    <row r="42" spans="1:6" x14ac:dyDescent="0.2">
      <c r="A42" s="8">
        <v>41</v>
      </c>
      <c r="B42" s="235" t="s">
        <v>328</v>
      </c>
      <c r="C42" s="236"/>
      <c r="D42" s="233">
        <v>46000</v>
      </c>
      <c r="E42" s="237">
        <v>1</v>
      </c>
      <c r="F42" s="301"/>
    </row>
    <row r="43" spans="1:6" x14ac:dyDescent="0.2">
      <c r="A43" s="8">
        <v>42</v>
      </c>
      <c r="B43" s="235" t="s">
        <v>325</v>
      </c>
      <c r="C43" s="238" t="s">
        <v>326</v>
      </c>
      <c r="D43" s="239">
        <v>45992</v>
      </c>
      <c r="E43" s="237">
        <v>3</v>
      </c>
      <c r="F43" s="301"/>
    </row>
    <row r="44" spans="1:6" x14ac:dyDescent="0.2">
      <c r="A44" s="8">
        <v>43</v>
      </c>
      <c r="B44" s="66" t="s">
        <v>132</v>
      </c>
      <c r="C44" s="223" t="s">
        <v>317</v>
      </c>
      <c r="D44" s="200" t="s">
        <v>357</v>
      </c>
      <c r="E44" s="219">
        <v>2</v>
      </c>
      <c r="F44" s="301"/>
    </row>
    <row r="45" spans="1:6" x14ac:dyDescent="0.2">
      <c r="A45" s="8">
        <v>44</v>
      </c>
      <c r="B45" s="46" t="s">
        <v>354</v>
      </c>
      <c r="C45" s="17" t="s">
        <v>397</v>
      </c>
      <c r="D45" s="64">
        <v>46027</v>
      </c>
      <c r="E45" s="39">
        <v>1</v>
      </c>
      <c r="F45" s="301"/>
    </row>
    <row r="46" spans="1:6" x14ac:dyDescent="0.2">
      <c r="A46" s="48">
        <v>45</v>
      </c>
      <c r="B46" s="9" t="s">
        <v>398</v>
      </c>
      <c r="C46" s="39" t="s">
        <v>399</v>
      </c>
      <c r="D46" s="51">
        <v>46027</v>
      </c>
      <c r="E46" s="39">
        <v>1</v>
      </c>
      <c r="F46" s="301"/>
    </row>
    <row r="47" spans="1:6" x14ac:dyDescent="0.2">
      <c r="A47" s="8">
        <v>46</v>
      </c>
      <c r="B47" s="28" t="s">
        <v>381</v>
      </c>
      <c r="C47" s="17" t="s">
        <v>380</v>
      </c>
      <c r="D47" s="51">
        <v>46031</v>
      </c>
      <c r="E47" s="39">
        <v>2</v>
      </c>
      <c r="F47" s="301"/>
    </row>
    <row r="48" spans="1:6" x14ac:dyDescent="0.2">
      <c r="A48" s="8">
        <v>47</v>
      </c>
      <c r="B48" s="91" t="s">
        <v>422</v>
      </c>
      <c r="C48" s="17" t="s">
        <v>380</v>
      </c>
      <c r="D48" s="108">
        <v>46033</v>
      </c>
      <c r="E48" s="45">
        <v>2</v>
      </c>
      <c r="F48" s="301"/>
    </row>
    <row r="49" spans="1:6" x14ac:dyDescent="0.2">
      <c r="A49" s="48">
        <v>48</v>
      </c>
      <c r="B49" s="46" t="s">
        <v>328</v>
      </c>
      <c r="C49" s="17" t="s">
        <v>397</v>
      </c>
      <c r="D49" s="64">
        <v>46033</v>
      </c>
      <c r="E49" s="39">
        <v>2</v>
      </c>
      <c r="F49" s="301"/>
    </row>
    <row r="50" spans="1:6" x14ac:dyDescent="0.2">
      <c r="A50" s="48">
        <v>49</v>
      </c>
      <c r="B50" s="46" t="s">
        <v>408</v>
      </c>
      <c r="C50" s="17" t="s">
        <v>397</v>
      </c>
      <c r="D50" s="64">
        <v>46034</v>
      </c>
      <c r="E50" s="39">
        <v>2</v>
      </c>
      <c r="F50" s="301"/>
    </row>
    <row r="51" spans="1:6" x14ac:dyDescent="0.2">
      <c r="A51" s="48">
        <v>50</v>
      </c>
      <c r="B51" s="9" t="s">
        <v>401</v>
      </c>
      <c r="C51" s="17" t="s">
        <v>399</v>
      </c>
      <c r="D51" s="64">
        <v>46034</v>
      </c>
      <c r="E51" s="39">
        <v>1</v>
      </c>
      <c r="F51" s="301"/>
    </row>
    <row r="52" spans="1:6" x14ac:dyDescent="0.2">
      <c r="A52" s="48">
        <v>51</v>
      </c>
      <c r="B52" s="46" t="s">
        <v>403</v>
      </c>
      <c r="C52" s="17" t="s">
        <v>380</v>
      </c>
      <c r="D52" s="50">
        <v>46035</v>
      </c>
      <c r="E52" s="39">
        <v>2</v>
      </c>
      <c r="F52" s="301"/>
    </row>
    <row r="53" spans="1:6" x14ac:dyDescent="0.2">
      <c r="A53" s="8">
        <v>52</v>
      </c>
      <c r="B53" s="9" t="s">
        <v>447</v>
      </c>
      <c r="C53" s="17" t="s">
        <v>126</v>
      </c>
      <c r="D53" s="64">
        <v>46035</v>
      </c>
      <c r="E53" s="39">
        <v>2</v>
      </c>
      <c r="F53" s="301"/>
    </row>
    <row r="54" spans="1:6" x14ac:dyDescent="0.2">
      <c r="A54" s="8">
        <v>53</v>
      </c>
      <c r="B54" s="66" t="s">
        <v>448</v>
      </c>
      <c r="C54" s="223" t="s">
        <v>126</v>
      </c>
      <c r="D54" s="64">
        <v>46036</v>
      </c>
      <c r="E54" s="214">
        <v>3</v>
      </c>
      <c r="F54" s="301"/>
    </row>
    <row r="55" spans="1:6" x14ac:dyDescent="0.2">
      <c r="A55" s="8">
        <v>54</v>
      </c>
      <c r="B55" s="66" t="s">
        <v>451</v>
      </c>
      <c r="C55" s="223" t="s">
        <v>452</v>
      </c>
      <c r="D55" s="64">
        <v>46037</v>
      </c>
      <c r="E55" s="214">
        <v>1</v>
      </c>
      <c r="F55" s="301"/>
    </row>
    <row r="56" spans="1:6" x14ac:dyDescent="0.2">
      <c r="A56" s="8">
        <v>55</v>
      </c>
      <c r="B56" s="9" t="s">
        <v>447</v>
      </c>
      <c r="C56" s="223" t="s">
        <v>107</v>
      </c>
      <c r="D56" s="64">
        <v>46040</v>
      </c>
      <c r="E56" s="214">
        <v>1</v>
      </c>
      <c r="F56" s="301"/>
    </row>
    <row r="57" spans="1:6" x14ac:dyDescent="0.2">
      <c r="A57" s="48">
        <v>56</v>
      </c>
      <c r="B57" s="9" t="s">
        <v>447</v>
      </c>
      <c r="C57" s="223" t="s">
        <v>200</v>
      </c>
      <c r="D57" s="64">
        <v>46041</v>
      </c>
      <c r="E57" s="214">
        <v>1</v>
      </c>
      <c r="F57" s="301"/>
    </row>
    <row r="58" spans="1:6" x14ac:dyDescent="0.2">
      <c r="A58" s="48">
        <v>57</v>
      </c>
      <c r="B58" s="9" t="s">
        <v>267</v>
      </c>
      <c r="C58" s="17" t="s">
        <v>455</v>
      </c>
      <c r="D58" s="64">
        <v>46042</v>
      </c>
      <c r="E58" s="211">
        <v>2</v>
      </c>
      <c r="F58" s="301"/>
    </row>
    <row r="59" spans="1:6" x14ac:dyDescent="0.2">
      <c r="A59" s="48">
        <v>58</v>
      </c>
      <c r="B59" s="9" t="s">
        <v>464</v>
      </c>
      <c r="C59" s="17"/>
      <c r="D59" s="64"/>
      <c r="E59" s="211">
        <v>5</v>
      </c>
      <c r="F59" s="301"/>
    </row>
    <row r="60" spans="1:6" x14ac:dyDescent="0.2">
      <c r="A60" s="48">
        <v>59</v>
      </c>
      <c r="B60" s="66" t="s">
        <v>472</v>
      </c>
      <c r="C60" s="223" t="s">
        <v>459</v>
      </c>
      <c r="D60" s="64">
        <v>46051</v>
      </c>
      <c r="E60" s="214">
        <v>2</v>
      </c>
      <c r="F60" s="301"/>
    </row>
    <row r="61" spans="1:6" x14ac:dyDescent="0.2">
      <c r="A61" s="48">
        <v>60</v>
      </c>
      <c r="B61" s="74" t="s">
        <v>509</v>
      </c>
      <c r="C61" s="141" t="s">
        <v>510</v>
      </c>
      <c r="D61" s="139" t="s">
        <v>495</v>
      </c>
      <c r="E61" s="217">
        <v>20</v>
      </c>
      <c r="F61" s="301"/>
    </row>
    <row r="62" spans="1:6" x14ac:dyDescent="0.2">
      <c r="A62" s="8">
        <v>61</v>
      </c>
      <c r="B62" s="9" t="s">
        <v>531</v>
      </c>
      <c r="C62" s="17" t="s">
        <v>332</v>
      </c>
      <c r="D62" s="9"/>
      <c r="E62" s="39">
        <v>1</v>
      </c>
      <c r="F62" s="301"/>
    </row>
    <row r="63" spans="1:6" x14ac:dyDescent="0.2">
      <c r="A63" s="8">
        <v>62</v>
      </c>
      <c r="B63" s="9" t="s">
        <v>132</v>
      </c>
      <c r="C63" s="39" t="s">
        <v>526</v>
      </c>
      <c r="D63" s="64">
        <v>46087</v>
      </c>
      <c r="E63" s="39">
        <v>2</v>
      </c>
      <c r="F63" s="301"/>
    </row>
    <row r="64" spans="1:6" x14ac:dyDescent="0.2">
      <c r="A64" s="8">
        <v>63</v>
      </c>
      <c r="B64" s="79" t="s">
        <v>252</v>
      </c>
      <c r="C64" s="17"/>
      <c r="D64" s="64">
        <v>46090</v>
      </c>
      <c r="E64" s="211">
        <v>2</v>
      </c>
      <c r="F64" s="301"/>
    </row>
    <row r="65" spans="1:6" x14ac:dyDescent="0.2">
      <c r="A65" s="48">
        <v>64</v>
      </c>
      <c r="B65" s="79" t="s">
        <v>252</v>
      </c>
      <c r="C65" s="17"/>
      <c r="D65" s="64">
        <v>46092</v>
      </c>
      <c r="E65" s="211">
        <v>2</v>
      </c>
      <c r="F65" s="301"/>
    </row>
    <row r="66" spans="1:6" x14ac:dyDescent="0.2">
      <c r="A66" s="48">
        <v>65</v>
      </c>
      <c r="B66" s="79" t="s">
        <v>252</v>
      </c>
      <c r="C66" s="17"/>
      <c r="D66" s="64">
        <v>46092</v>
      </c>
      <c r="E66" s="211">
        <v>2</v>
      </c>
      <c r="F66" s="301"/>
    </row>
    <row r="67" spans="1:6" x14ac:dyDescent="0.2">
      <c r="A67" s="48">
        <v>66</v>
      </c>
      <c r="B67" s="66" t="s">
        <v>174</v>
      </c>
      <c r="C67" s="223" t="s">
        <v>570</v>
      </c>
      <c r="D67" s="202" t="s">
        <v>569</v>
      </c>
      <c r="E67" s="199">
        <v>1</v>
      </c>
      <c r="F67" s="301"/>
    </row>
    <row r="68" spans="1:6" x14ac:dyDescent="0.2">
      <c r="A68" s="48">
        <v>67</v>
      </c>
      <c r="B68" s="9" t="s">
        <v>516</v>
      </c>
      <c r="C68" s="39" t="s">
        <v>576</v>
      </c>
      <c r="D68" s="64">
        <v>46121</v>
      </c>
      <c r="E68" s="39">
        <v>1</v>
      </c>
      <c r="F68" s="301"/>
    </row>
    <row r="69" spans="1:6" x14ac:dyDescent="0.2">
      <c r="A69" s="8">
        <v>68</v>
      </c>
      <c r="B69" s="9" t="s">
        <v>541</v>
      </c>
      <c r="C69" s="39" t="s">
        <v>542</v>
      </c>
      <c r="D69" s="68">
        <v>46123</v>
      </c>
      <c r="E69" s="45">
        <v>3</v>
      </c>
      <c r="F69" s="301"/>
    </row>
    <row r="70" spans="1:6" x14ac:dyDescent="0.2">
      <c r="A70" s="8">
        <v>69</v>
      </c>
      <c r="B70" s="74" t="s">
        <v>555</v>
      </c>
      <c r="C70" s="140" t="s">
        <v>556</v>
      </c>
      <c r="D70" s="258"/>
      <c r="E70" s="217">
        <v>10</v>
      </c>
      <c r="F70" s="301"/>
    </row>
    <row r="71" spans="1:6" x14ac:dyDescent="0.2">
      <c r="A71" s="48">
        <v>70</v>
      </c>
      <c r="B71" s="9" t="s">
        <v>588</v>
      </c>
      <c r="C71" s="39" t="s">
        <v>552</v>
      </c>
      <c r="D71" s="123">
        <v>46127</v>
      </c>
      <c r="E71" s="39">
        <v>1</v>
      </c>
      <c r="F71" s="301"/>
    </row>
    <row r="72" spans="1:6" x14ac:dyDescent="0.2">
      <c r="A72" s="48">
        <v>71</v>
      </c>
      <c r="B72" s="9" t="s">
        <v>516</v>
      </c>
      <c r="C72" s="39" t="s">
        <v>596</v>
      </c>
      <c r="D72" s="123">
        <v>46128</v>
      </c>
      <c r="E72" s="39">
        <v>1</v>
      </c>
      <c r="F72" s="301"/>
    </row>
    <row r="73" spans="1:6" x14ac:dyDescent="0.2">
      <c r="A73" s="48">
        <v>72</v>
      </c>
      <c r="B73" s="79" t="s">
        <v>608</v>
      </c>
      <c r="C73" s="112" t="s">
        <v>607</v>
      </c>
      <c r="D73" s="123">
        <v>46134</v>
      </c>
      <c r="E73" s="39">
        <v>2</v>
      </c>
      <c r="F73" s="301"/>
    </row>
    <row r="74" spans="1:6" x14ac:dyDescent="0.2">
      <c r="A74" s="8">
        <v>73</v>
      </c>
      <c r="B74" s="9" t="s">
        <v>593</v>
      </c>
      <c r="C74" s="112" t="s">
        <v>542</v>
      </c>
      <c r="D74" s="262">
        <v>46137</v>
      </c>
      <c r="E74" s="45">
        <v>3</v>
      </c>
      <c r="F74" s="301"/>
    </row>
    <row r="75" spans="1:6" x14ac:dyDescent="0.2">
      <c r="A75" s="8">
        <v>74</v>
      </c>
      <c r="B75" s="66" t="s">
        <v>354</v>
      </c>
      <c r="C75" s="223" t="s">
        <v>609</v>
      </c>
      <c r="D75" s="267" t="s">
        <v>610</v>
      </c>
      <c r="E75" s="223">
        <v>1</v>
      </c>
      <c r="F75" s="301"/>
    </row>
    <row r="76" spans="1:6" x14ac:dyDescent="0.2">
      <c r="A76" s="48">
        <v>75</v>
      </c>
      <c r="B76" s="66" t="s">
        <v>322</v>
      </c>
      <c r="C76" s="17" t="s">
        <v>618</v>
      </c>
      <c r="D76" s="64">
        <v>46140</v>
      </c>
      <c r="E76" s="211">
        <v>1</v>
      </c>
      <c r="F76" s="301"/>
    </row>
    <row r="77" spans="1:6" x14ac:dyDescent="0.2">
      <c r="A77" s="48">
        <v>76</v>
      </c>
      <c r="B77" s="9" t="s">
        <v>637</v>
      </c>
      <c r="C77" s="39" t="s">
        <v>527</v>
      </c>
      <c r="D77" s="123">
        <v>46153</v>
      </c>
      <c r="E77" s="39">
        <v>1</v>
      </c>
      <c r="F77" s="301"/>
    </row>
    <row r="78" spans="1:6" x14ac:dyDescent="0.2">
      <c r="A78" s="48">
        <v>77</v>
      </c>
      <c r="B78" s="9" t="s">
        <v>648</v>
      </c>
      <c r="C78" s="39" t="s">
        <v>634</v>
      </c>
      <c r="D78" s="123">
        <v>46155</v>
      </c>
      <c r="E78" s="211">
        <v>1</v>
      </c>
      <c r="F78" s="301"/>
    </row>
    <row r="79" spans="1:6" x14ac:dyDescent="0.2">
      <c r="A79" s="8">
        <v>78</v>
      </c>
      <c r="B79" s="66" t="s">
        <v>646</v>
      </c>
      <c r="C79" s="39" t="s">
        <v>647</v>
      </c>
      <c r="D79" s="123">
        <v>46156</v>
      </c>
      <c r="E79" s="211">
        <v>1</v>
      </c>
      <c r="F79" s="301"/>
    </row>
    <row r="80" spans="1:6" x14ac:dyDescent="0.2">
      <c r="A80" s="8">
        <v>79</v>
      </c>
      <c r="B80" s="9" t="s">
        <v>637</v>
      </c>
      <c r="C80" s="39" t="s">
        <v>635</v>
      </c>
      <c r="D80" s="123">
        <v>46156</v>
      </c>
      <c r="E80" s="211">
        <v>1</v>
      </c>
      <c r="F80" s="301"/>
    </row>
    <row r="81" spans="1:6" x14ac:dyDescent="0.2">
      <c r="A81" s="48"/>
      <c r="B81" s="9"/>
      <c r="C81" s="39"/>
      <c r="D81" s="123"/>
      <c r="E81" s="211"/>
      <c r="F81" s="301"/>
    </row>
    <row r="82" spans="1:6" x14ac:dyDescent="0.2">
      <c r="A82" s="48">
        <v>80</v>
      </c>
      <c r="B82" s="9" t="s">
        <v>322</v>
      </c>
      <c r="C82" s="17" t="s">
        <v>606</v>
      </c>
      <c r="D82" s="64">
        <v>46174</v>
      </c>
      <c r="E82" s="39">
        <v>1</v>
      </c>
      <c r="F82" s="301"/>
    </row>
    <row r="83" spans="1:6" x14ac:dyDescent="0.2">
      <c r="A83" s="8">
        <v>81</v>
      </c>
      <c r="B83" s="9" t="s">
        <v>402</v>
      </c>
      <c r="C83" s="17" t="s">
        <v>622</v>
      </c>
      <c r="D83" s="64">
        <v>46174</v>
      </c>
      <c r="E83" s="39">
        <v>1</v>
      </c>
      <c r="F83" s="301"/>
    </row>
    <row r="84" spans="1:6" x14ac:dyDescent="0.2">
      <c r="A84" s="8">
        <v>82</v>
      </c>
      <c r="B84" s="9" t="s">
        <v>646</v>
      </c>
      <c r="C84" s="17" t="s">
        <v>397</v>
      </c>
      <c r="D84" s="64">
        <v>46175</v>
      </c>
      <c r="E84" s="39">
        <v>1</v>
      </c>
      <c r="F84" s="301"/>
    </row>
    <row r="85" spans="1:6" x14ac:dyDescent="0.2">
      <c r="A85" s="48">
        <v>83</v>
      </c>
      <c r="B85" s="9" t="s">
        <v>339</v>
      </c>
      <c r="C85" s="17" t="s">
        <v>654</v>
      </c>
      <c r="D85" s="64">
        <v>46177</v>
      </c>
      <c r="E85" s="211">
        <v>1</v>
      </c>
      <c r="F85" s="301"/>
    </row>
    <row r="86" spans="1:6" x14ac:dyDescent="0.2">
      <c r="A86" s="48">
        <v>84</v>
      </c>
      <c r="B86" s="9" t="s">
        <v>409</v>
      </c>
      <c r="C86" s="39" t="s">
        <v>606</v>
      </c>
      <c r="D86" s="64">
        <v>46178</v>
      </c>
      <c r="E86" s="39">
        <v>1</v>
      </c>
      <c r="F86" s="301"/>
    </row>
    <row r="87" spans="1:6" x14ac:dyDescent="0.2">
      <c r="A87" s="48"/>
      <c r="B87" s="9" t="s">
        <v>322</v>
      </c>
      <c r="C87" s="17" t="s">
        <v>399</v>
      </c>
      <c r="D87" s="68">
        <v>46180</v>
      </c>
      <c r="E87" s="45">
        <v>2</v>
      </c>
      <c r="F87" s="301"/>
    </row>
    <row r="88" spans="1:6" x14ac:dyDescent="0.2">
      <c r="A88" s="48">
        <v>85</v>
      </c>
      <c r="B88" s="9" t="s">
        <v>646</v>
      </c>
      <c r="C88" s="39" t="s">
        <v>606</v>
      </c>
      <c r="D88" s="64">
        <v>46181</v>
      </c>
      <c r="E88" s="39">
        <v>1</v>
      </c>
      <c r="F88" s="301"/>
    </row>
    <row r="89" spans="1:6" x14ac:dyDescent="0.2">
      <c r="A89" s="48"/>
      <c r="B89" s="9" t="s">
        <v>402</v>
      </c>
      <c r="C89" s="17" t="s">
        <v>397</v>
      </c>
      <c r="D89" s="64">
        <v>46181</v>
      </c>
      <c r="E89" s="39">
        <v>1</v>
      </c>
      <c r="F89" s="301"/>
    </row>
    <row r="90" spans="1:6" x14ac:dyDescent="0.2">
      <c r="A90" s="48"/>
      <c r="B90" s="9" t="s">
        <v>409</v>
      </c>
      <c r="C90" s="17" t="s">
        <v>399</v>
      </c>
      <c r="D90" s="64">
        <v>46181</v>
      </c>
      <c r="E90" s="39">
        <v>1</v>
      </c>
      <c r="F90" s="301"/>
    </row>
    <row r="91" spans="1:6" x14ac:dyDescent="0.2">
      <c r="A91" s="48"/>
      <c r="B91" s="28" t="s">
        <v>619</v>
      </c>
      <c r="C91" s="17" t="s">
        <v>606</v>
      </c>
      <c r="D91" s="64">
        <v>46183</v>
      </c>
      <c r="E91" s="211">
        <v>2</v>
      </c>
      <c r="F91" s="301"/>
    </row>
    <row r="92" spans="1:6" x14ac:dyDescent="0.2">
      <c r="A92" s="8">
        <v>86</v>
      </c>
      <c r="B92" s="9" t="s">
        <v>616</v>
      </c>
      <c r="C92" s="17" t="s">
        <v>606</v>
      </c>
      <c r="D92" s="68">
        <v>46186</v>
      </c>
      <c r="E92" s="45">
        <v>2</v>
      </c>
      <c r="F92" s="301"/>
    </row>
    <row r="93" spans="1:6" x14ac:dyDescent="0.2">
      <c r="A93" s="8">
        <v>87</v>
      </c>
      <c r="B93" s="9" t="s">
        <v>270</v>
      </c>
      <c r="C93" s="17" t="s">
        <v>399</v>
      </c>
      <c r="D93" s="68">
        <v>46186</v>
      </c>
      <c r="E93" s="45">
        <v>2</v>
      </c>
      <c r="F93" s="301"/>
    </row>
    <row r="94" spans="1:6" x14ac:dyDescent="0.2">
      <c r="A94" s="48">
        <v>88</v>
      </c>
      <c r="B94" s="79"/>
      <c r="C94" s="17"/>
      <c r="D94" s="64"/>
      <c r="E94" s="211"/>
      <c r="F94" s="301"/>
    </row>
    <row r="95" spans="1:6" x14ac:dyDescent="0.2">
      <c r="A95" s="48">
        <v>89</v>
      </c>
      <c r="B95" s="79"/>
      <c r="C95" s="17"/>
      <c r="D95" s="64"/>
      <c r="E95" s="211"/>
      <c r="F95" s="301"/>
    </row>
    <row r="96" spans="1:6" x14ac:dyDescent="0.2">
      <c r="A96" s="48">
        <v>90</v>
      </c>
      <c r="B96" s="9"/>
      <c r="C96" s="17"/>
      <c r="D96" s="64"/>
      <c r="E96" s="211"/>
      <c r="F96" s="301"/>
    </row>
    <row r="97" spans="1:6" x14ac:dyDescent="0.2">
      <c r="A97" s="8">
        <v>91</v>
      </c>
      <c r="B97" s="9"/>
      <c r="C97" s="17"/>
      <c r="D97" s="64"/>
      <c r="E97" s="211"/>
      <c r="F97" s="301"/>
    </row>
    <row r="98" spans="1:6" ht="17" thickBot="1" x14ac:dyDescent="0.25"/>
    <row r="99" spans="1:6" ht="29" thickBot="1" x14ac:dyDescent="0.35">
      <c r="A99" s="306" t="s">
        <v>92</v>
      </c>
      <c r="B99" s="307"/>
      <c r="C99" s="307"/>
      <c r="D99" s="307"/>
      <c r="E99" s="41">
        <f>SUM(E2:E97)</f>
        <v>267</v>
      </c>
    </row>
  </sheetData>
  <mergeCells count="6">
    <mergeCell ref="I1:K1"/>
    <mergeCell ref="A99:D99"/>
    <mergeCell ref="F2:F14"/>
    <mergeCell ref="F15:F97"/>
    <mergeCell ref="J12:K12"/>
    <mergeCell ref="J11:K11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C286F-5059-1844-8623-996E5F44601C}">
  <dimension ref="A1:O133"/>
  <sheetViews>
    <sheetView topLeftCell="A107" zoomScale="157" workbookViewId="0">
      <selection activeCell="H127" sqref="H127"/>
    </sheetView>
  </sheetViews>
  <sheetFormatPr baseColWidth="10" defaultRowHeight="16" x14ac:dyDescent="0.2"/>
  <cols>
    <col min="1" max="1" width="7.33203125" style="7" customWidth="1"/>
    <col min="2" max="2" width="47.83203125" style="7" bestFit="1" customWidth="1"/>
    <col min="3" max="3" width="12.33203125" style="7" customWidth="1"/>
    <col min="4" max="4" width="25" style="7" bestFit="1" customWidth="1"/>
    <col min="5" max="5" width="11.1640625" style="47" bestFit="1" customWidth="1"/>
    <col min="6" max="8" width="10.83203125" style="7"/>
    <col min="9" max="9" width="18.5" style="7" customWidth="1"/>
    <col min="10" max="10" width="15.5" style="7" customWidth="1"/>
    <col min="11" max="11" width="10.83203125" style="7"/>
    <col min="12" max="12" width="15.33203125" style="7" bestFit="1" customWidth="1"/>
    <col min="13" max="13" width="4" style="7" customWidth="1"/>
    <col min="14" max="14" width="11.1640625" style="7" bestFit="1" customWidth="1"/>
    <col min="15" max="15" width="54.5" style="7" bestFit="1" customWidth="1"/>
    <col min="16" max="16384" width="10.83203125" style="7"/>
  </cols>
  <sheetData>
    <row r="1" spans="1:15" s="36" customFormat="1" x14ac:dyDescent="0.2">
      <c r="A1" s="8" t="s">
        <v>13</v>
      </c>
      <c r="B1" s="18" t="s">
        <v>14</v>
      </c>
      <c r="C1" s="18" t="s">
        <v>1</v>
      </c>
      <c r="D1" s="18" t="s">
        <v>0</v>
      </c>
      <c r="E1" s="18" t="s">
        <v>15</v>
      </c>
      <c r="I1" s="301" t="s">
        <v>16</v>
      </c>
      <c r="J1" s="301"/>
      <c r="K1" s="301"/>
      <c r="L1" s="301"/>
      <c r="N1" s="301" t="s">
        <v>47</v>
      </c>
      <c r="O1" s="301"/>
    </row>
    <row r="2" spans="1:15" x14ac:dyDescent="0.2">
      <c r="A2" s="8">
        <v>1</v>
      </c>
      <c r="B2" s="34" t="s">
        <v>71</v>
      </c>
      <c r="C2" s="53" t="s">
        <v>100</v>
      </c>
      <c r="D2" s="54">
        <v>45848</v>
      </c>
      <c r="E2" s="17">
        <v>3</v>
      </c>
      <c r="F2" s="304">
        <f>SUM(E2:E13)</f>
        <v>71</v>
      </c>
      <c r="I2" s="8" t="s">
        <v>21</v>
      </c>
      <c r="J2" s="8" t="s">
        <v>22</v>
      </c>
      <c r="K2" s="8" t="s">
        <v>12</v>
      </c>
      <c r="L2" s="18" t="s">
        <v>88</v>
      </c>
      <c r="N2" s="39">
        <v>1</v>
      </c>
      <c r="O2" s="17" t="s">
        <v>89</v>
      </c>
    </row>
    <row r="3" spans="1:15" x14ac:dyDescent="0.2">
      <c r="A3" s="8">
        <v>2</v>
      </c>
      <c r="B3" s="52" t="s">
        <v>137</v>
      </c>
      <c r="C3" s="53" t="s">
        <v>138</v>
      </c>
      <c r="D3" s="54">
        <v>45850</v>
      </c>
      <c r="E3" s="17">
        <v>5</v>
      </c>
      <c r="F3" s="304"/>
      <c r="I3" s="17" t="s">
        <v>86</v>
      </c>
      <c r="J3" s="17" t="s">
        <v>79</v>
      </c>
      <c r="K3" s="17" t="s">
        <v>80</v>
      </c>
      <c r="L3" s="17" t="s">
        <v>82</v>
      </c>
      <c r="M3" s="47"/>
      <c r="N3" s="39">
        <v>2</v>
      </c>
      <c r="O3" s="17" t="s">
        <v>61</v>
      </c>
    </row>
    <row r="4" spans="1:15" ht="17" customHeight="1" x14ac:dyDescent="0.2">
      <c r="A4" s="8">
        <v>3</v>
      </c>
      <c r="B4" s="32" t="s">
        <v>127</v>
      </c>
      <c r="C4" s="53" t="s">
        <v>100</v>
      </c>
      <c r="D4" s="54">
        <v>45862</v>
      </c>
      <c r="E4" s="17">
        <v>8</v>
      </c>
      <c r="F4" s="304"/>
      <c r="I4" s="107" t="s">
        <v>87</v>
      </c>
      <c r="J4" s="17" t="s">
        <v>26</v>
      </c>
      <c r="K4" s="17" t="s">
        <v>81</v>
      </c>
      <c r="L4" s="17" t="s">
        <v>83</v>
      </c>
      <c r="M4" s="47"/>
      <c r="N4" s="39">
        <v>3</v>
      </c>
      <c r="O4" s="17" t="s">
        <v>90</v>
      </c>
    </row>
    <row r="5" spans="1:15" x14ac:dyDescent="0.2">
      <c r="A5" s="8">
        <v>4</v>
      </c>
      <c r="B5" s="52" t="s">
        <v>139</v>
      </c>
      <c r="C5" s="53" t="s">
        <v>140</v>
      </c>
      <c r="D5" s="54">
        <v>45863</v>
      </c>
      <c r="E5" s="17">
        <v>2</v>
      </c>
      <c r="F5" s="304"/>
      <c r="I5" s="17" t="s">
        <v>86</v>
      </c>
      <c r="J5" s="17" t="s">
        <v>20</v>
      </c>
      <c r="K5" s="17" t="s">
        <v>80</v>
      </c>
      <c r="L5" s="17" t="s">
        <v>82</v>
      </c>
      <c r="M5" s="47"/>
      <c r="N5" s="39">
        <v>4</v>
      </c>
      <c r="O5" s="17" t="s">
        <v>91</v>
      </c>
    </row>
    <row r="6" spans="1:15" ht="19" customHeight="1" x14ac:dyDescent="0.2">
      <c r="A6" s="8">
        <v>5</v>
      </c>
      <c r="B6" s="52" t="s">
        <v>130</v>
      </c>
      <c r="C6" s="55" t="s">
        <v>100</v>
      </c>
      <c r="D6" s="56">
        <v>45864</v>
      </c>
      <c r="E6" s="17">
        <v>8</v>
      </c>
      <c r="F6" s="304"/>
      <c r="I6" s="107" t="s">
        <v>87</v>
      </c>
      <c r="J6" s="17" t="s">
        <v>78</v>
      </c>
      <c r="K6" s="17" t="s">
        <v>81</v>
      </c>
      <c r="L6" s="17" t="s">
        <v>84</v>
      </c>
      <c r="M6" s="47"/>
      <c r="N6" s="40"/>
    </row>
    <row r="7" spans="1:15" ht="17" customHeight="1" x14ac:dyDescent="0.2">
      <c r="A7" s="8">
        <v>6</v>
      </c>
      <c r="B7" s="52" t="s">
        <v>128</v>
      </c>
      <c r="C7" s="53" t="s">
        <v>100</v>
      </c>
      <c r="D7" s="54">
        <v>45866</v>
      </c>
      <c r="E7" s="17">
        <v>6</v>
      </c>
      <c r="F7" s="304"/>
      <c r="I7" s="107" t="s">
        <v>87</v>
      </c>
      <c r="J7" s="17" t="s">
        <v>78</v>
      </c>
      <c r="K7" s="17" t="s">
        <v>81</v>
      </c>
      <c r="L7" s="17" t="s">
        <v>85</v>
      </c>
      <c r="M7" s="47"/>
      <c r="N7" s="40"/>
    </row>
    <row r="8" spans="1:15" x14ac:dyDescent="0.2">
      <c r="A8" s="8">
        <v>7</v>
      </c>
      <c r="B8" s="32" t="s">
        <v>127</v>
      </c>
      <c r="C8" s="53" t="s">
        <v>100</v>
      </c>
      <c r="D8" s="54">
        <v>45868</v>
      </c>
      <c r="E8" s="17">
        <v>8</v>
      </c>
      <c r="F8" s="304"/>
    </row>
    <row r="9" spans="1:15" x14ac:dyDescent="0.2">
      <c r="A9" s="8">
        <v>8</v>
      </c>
      <c r="B9" s="52" t="s">
        <v>128</v>
      </c>
      <c r="C9" s="53" t="s">
        <v>100</v>
      </c>
      <c r="D9" s="54">
        <v>45870</v>
      </c>
      <c r="E9" s="17">
        <v>6</v>
      </c>
      <c r="F9" s="304"/>
    </row>
    <row r="10" spans="1:15" x14ac:dyDescent="0.2">
      <c r="A10" s="8">
        <v>9</v>
      </c>
      <c r="B10" s="52" t="s">
        <v>130</v>
      </c>
      <c r="C10" s="53" t="s">
        <v>100</v>
      </c>
      <c r="D10" s="56">
        <v>45871</v>
      </c>
      <c r="E10" s="73">
        <v>8</v>
      </c>
      <c r="F10" s="304"/>
      <c r="I10" s="7" t="s">
        <v>184</v>
      </c>
      <c r="J10" s="305" t="s">
        <v>434</v>
      </c>
      <c r="K10" s="305"/>
      <c r="L10" s="305"/>
      <c r="M10" s="305"/>
      <c r="N10" s="305"/>
      <c r="O10" s="305"/>
    </row>
    <row r="11" spans="1:15" x14ac:dyDescent="0.2">
      <c r="A11" s="8">
        <v>10</v>
      </c>
      <c r="B11" s="32" t="s">
        <v>129</v>
      </c>
      <c r="C11" s="53" t="s">
        <v>100</v>
      </c>
      <c r="D11" s="56">
        <v>45872</v>
      </c>
      <c r="E11" s="73">
        <v>10</v>
      </c>
      <c r="F11" s="304"/>
    </row>
    <row r="12" spans="1:15" x14ac:dyDescent="0.2">
      <c r="A12" s="8">
        <v>11</v>
      </c>
      <c r="B12" s="57" t="s">
        <v>66</v>
      </c>
      <c r="C12" s="53" t="s">
        <v>141</v>
      </c>
      <c r="D12" s="56">
        <v>45872</v>
      </c>
      <c r="E12" s="73">
        <v>3</v>
      </c>
      <c r="F12" s="304"/>
    </row>
    <row r="13" spans="1:15" ht="17" thickBot="1" x14ac:dyDescent="0.25">
      <c r="A13" s="117">
        <v>12</v>
      </c>
      <c r="B13" s="133" t="s">
        <v>65</v>
      </c>
      <c r="C13" s="134" t="s">
        <v>141</v>
      </c>
      <c r="D13" s="135">
        <v>45887</v>
      </c>
      <c r="E13" s="136">
        <v>4</v>
      </c>
      <c r="F13" s="304"/>
    </row>
    <row r="14" spans="1:15" ht="17" thickTop="1" x14ac:dyDescent="0.2">
      <c r="A14" s="122">
        <v>13</v>
      </c>
      <c r="B14" s="58" t="s">
        <v>142</v>
      </c>
      <c r="C14" s="131" t="s">
        <v>143</v>
      </c>
      <c r="D14" s="132">
        <v>45901</v>
      </c>
      <c r="E14" s="209">
        <v>3</v>
      </c>
      <c r="F14" s="304">
        <f>SUM(E14:E131)</f>
        <v>203</v>
      </c>
    </row>
    <row r="15" spans="1:15" x14ac:dyDescent="0.2">
      <c r="A15" s="8">
        <v>14</v>
      </c>
      <c r="B15" s="52" t="s">
        <v>142</v>
      </c>
      <c r="C15" s="53" t="s">
        <v>144</v>
      </c>
      <c r="D15" s="54">
        <v>45902</v>
      </c>
      <c r="E15" s="170">
        <v>3</v>
      </c>
      <c r="F15" s="304"/>
    </row>
    <row r="16" spans="1:15" x14ac:dyDescent="0.2">
      <c r="A16" s="8">
        <v>15</v>
      </c>
      <c r="B16" s="52" t="s">
        <v>142</v>
      </c>
      <c r="C16" s="53" t="s">
        <v>145</v>
      </c>
      <c r="D16" s="54">
        <v>45904</v>
      </c>
      <c r="E16" s="170">
        <v>4</v>
      </c>
      <c r="F16" s="304"/>
    </row>
    <row r="17" spans="1:6" x14ac:dyDescent="0.2">
      <c r="A17" s="8">
        <v>16</v>
      </c>
      <c r="B17" s="52" t="s">
        <v>142</v>
      </c>
      <c r="C17" s="53" t="s">
        <v>146</v>
      </c>
      <c r="D17" s="54">
        <v>45908</v>
      </c>
      <c r="E17" s="170">
        <v>1</v>
      </c>
      <c r="F17" s="304"/>
    </row>
    <row r="18" spans="1:6" x14ac:dyDescent="0.2">
      <c r="A18" s="8">
        <v>17</v>
      </c>
      <c r="B18" s="52" t="s">
        <v>142</v>
      </c>
      <c r="C18" s="53" t="s">
        <v>147</v>
      </c>
      <c r="D18" s="54">
        <v>45910</v>
      </c>
      <c r="E18" s="170">
        <v>1</v>
      </c>
      <c r="F18" s="304"/>
    </row>
    <row r="19" spans="1:6" x14ac:dyDescent="0.2">
      <c r="A19" s="8">
        <v>18</v>
      </c>
      <c r="B19" s="52" t="s">
        <v>89</v>
      </c>
      <c r="C19" s="53" t="s">
        <v>148</v>
      </c>
      <c r="D19" s="54">
        <v>45925</v>
      </c>
      <c r="E19" s="170">
        <v>2</v>
      </c>
      <c r="F19" s="304"/>
    </row>
    <row r="20" spans="1:6" x14ac:dyDescent="0.2">
      <c r="A20" s="8">
        <v>19</v>
      </c>
      <c r="B20" s="52" t="s">
        <v>142</v>
      </c>
      <c r="C20" s="53" t="s">
        <v>149</v>
      </c>
      <c r="D20" s="54">
        <v>45926</v>
      </c>
      <c r="E20" s="170">
        <v>4</v>
      </c>
      <c r="F20" s="304"/>
    </row>
    <row r="21" spans="1:6" x14ac:dyDescent="0.2">
      <c r="A21" s="8">
        <v>20</v>
      </c>
      <c r="B21" s="52" t="s">
        <v>142</v>
      </c>
      <c r="C21" s="53" t="s">
        <v>147</v>
      </c>
      <c r="D21" s="56">
        <v>45928</v>
      </c>
      <c r="E21" s="210">
        <v>4</v>
      </c>
      <c r="F21" s="304"/>
    </row>
    <row r="22" spans="1:6" x14ac:dyDescent="0.2">
      <c r="A22" s="8">
        <v>22</v>
      </c>
      <c r="B22" s="52" t="s">
        <v>142</v>
      </c>
      <c r="C22" s="59" t="s">
        <v>151</v>
      </c>
      <c r="D22" s="60">
        <v>45930</v>
      </c>
      <c r="E22" s="170">
        <v>2</v>
      </c>
      <c r="F22" s="304"/>
    </row>
    <row r="23" spans="1:6" x14ac:dyDescent="0.2">
      <c r="A23" s="8">
        <v>23</v>
      </c>
      <c r="B23" s="52" t="s">
        <v>89</v>
      </c>
      <c r="C23" s="59" t="s">
        <v>152</v>
      </c>
      <c r="D23" s="54">
        <v>45931</v>
      </c>
      <c r="E23" s="170">
        <v>3</v>
      </c>
      <c r="F23" s="304"/>
    </row>
    <row r="24" spans="1:6" x14ac:dyDescent="0.2">
      <c r="A24" s="8">
        <v>25</v>
      </c>
      <c r="B24" s="52" t="s">
        <v>142</v>
      </c>
      <c r="C24" s="59" t="s">
        <v>150</v>
      </c>
      <c r="D24" s="54">
        <v>45931</v>
      </c>
      <c r="E24" s="170">
        <v>1</v>
      </c>
      <c r="F24" s="304"/>
    </row>
    <row r="25" spans="1:6" x14ac:dyDescent="0.2">
      <c r="A25" s="8">
        <v>27</v>
      </c>
      <c r="B25" s="52" t="s">
        <v>61</v>
      </c>
      <c r="C25" s="59" t="s">
        <v>153</v>
      </c>
      <c r="D25" s="54">
        <v>45933</v>
      </c>
      <c r="E25" s="170">
        <v>1</v>
      </c>
      <c r="F25" s="304"/>
    </row>
    <row r="26" spans="1:6" x14ac:dyDescent="0.2">
      <c r="A26" s="8">
        <v>28</v>
      </c>
      <c r="B26" s="49" t="s">
        <v>154</v>
      </c>
      <c r="C26" s="59" t="s">
        <v>155</v>
      </c>
      <c r="D26" s="54">
        <v>45933</v>
      </c>
      <c r="E26" s="170">
        <v>2</v>
      </c>
      <c r="F26" s="304"/>
    </row>
    <row r="27" spans="1:6" x14ac:dyDescent="0.2">
      <c r="A27" s="8">
        <v>29</v>
      </c>
      <c r="B27" s="52" t="s">
        <v>142</v>
      </c>
      <c r="C27" s="59" t="s">
        <v>156</v>
      </c>
      <c r="D27" s="54">
        <v>45933</v>
      </c>
      <c r="E27" s="170">
        <v>3</v>
      </c>
      <c r="F27" s="304"/>
    </row>
    <row r="28" spans="1:6" x14ac:dyDescent="0.2">
      <c r="A28" s="8">
        <v>30</v>
      </c>
      <c r="B28" s="49" t="s">
        <v>157</v>
      </c>
      <c r="C28" s="59" t="s">
        <v>158</v>
      </c>
      <c r="D28" s="60">
        <v>45936</v>
      </c>
      <c r="E28" s="170">
        <v>1</v>
      </c>
      <c r="F28" s="304"/>
    </row>
    <row r="29" spans="1:6" x14ac:dyDescent="0.2">
      <c r="A29" s="8">
        <v>31</v>
      </c>
      <c r="B29" s="52" t="s">
        <v>142</v>
      </c>
      <c r="C29" s="59" t="s">
        <v>159</v>
      </c>
      <c r="D29" s="60">
        <v>45936</v>
      </c>
      <c r="E29" s="170">
        <v>1</v>
      </c>
      <c r="F29" s="304"/>
    </row>
    <row r="30" spans="1:6" x14ac:dyDescent="0.2">
      <c r="A30" s="8">
        <v>33</v>
      </c>
      <c r="B30" s="52" t="s">
        <v>142</v>
      </c>
      <c r="C30" s="59" t="s">
        <v>160</v>
      </c>
      <c r="D30" s="60">
        <v>45938</v>
      </c>
      <c r="E30" s="170">
        <v>1</v>
      </c>
      <c r="F30" s="304"/>
    </row>
    <row r="31" spans="1:6" x14ac:dyDescent="0.2">
      <c r="A31" s="8">
        <v>34</v>
      </c>
      <c r="B31" s="49" t="s">
        <v>161</v>
      </c>
      <c r="C31" s="59" t="s">
        <v>162</v>
      </c>
      <c r="D31" s="60">
        <v>45940</v>
      </c>
      <c r="E31" s="170">
        <v>3</v>
      </c>
      <c r="F31" s="304"/>
    </row>
    <row r="32" spans="1:6" x14ac:dyDescent="0.2">
      <c r="A32" s="8">
        <v>35</v>
      </c>
      <c r="B32" s="49" t="s">
        <v>163</v>
      </c>
      <c r="C32" s="59" t="s">
        <v>164</v>
      </c>
      <c r="D32" s="61">
        <v>45941</v>
      </c>
      <c r="E32" s="210">
        <v>4</v>
      </c>
      <c r="F32" s="304"/>
    </row>
    <row r="33" spans="1:6" x14ac:dyDescent="0.2">
      <c r="A33" s="8">
        <v>36</v>
      </c>
      <c r="B33" s="49" t="s">
        <v>163</v>
      </c>
      <c r="C33" s="59" t="s">
        <v>165</v>
      </c>
      <c r="D33" s="61">
        <v>45942</v>
      </c>
      <c r="E33" s="210">
        <v>4</v>
      </c>
      <c r="F33" s="304"/>
    </row>
    <row r="34" spans="1:6" x14ac:dyDescent="0.2">
      <c r="A34" s="8">
        <v>37</v>
      </c>
      <c r="B34" s="52" t="s">
        <v>142</v>
      </c>
      <c r="C34" s="59" t="s">
        <v>166</v>
      </c>
      <c r="D34" s="61">
        <v>45942</v>
      </c>
      <c r="E34" s="210">
        <v>2</v>
      </c>
      <c r="F34" s="304"/>
    </row>
    <row r="35" spans="1:6" x14ac:dyDescent="0.2">
      <c r="A35" s="8">
        <v>38</v>
      </c>
      <c r="B35" s="49" t="s">
        <v>110</v>
      </c>
      <c r="C35" s="39" t="s">
        <v>100</v>
      </c>
      <c r="D35" s="50" t="s">
        <v>167</v>
      </c>
      <c r="E35" s="170">
        <v>12</v>
      </c>
      <c r="F35" s="304"/>
    </row>
    <row r="36" spans="1:6" x14ac:dyDescent="0.2">
      <c r="A36" s="8">
        <v>39</v>
      </c>
      <c r="B36" s="90" t="s">
        <v>173</v>
      </c>
      <c r="C36" s="39" t="s">
        <v>141</v>
      </c>
      <c r="D36" s="50">
        <v>45950</v>
      </c>
      <c r="E36" s="170">
        <v>1</v>
      </c>
      <c r="F36" s="304"/>
    </row>
    <row r="37" spans="1:6" x14ac:dyDescent="0.2">
      <c r="A37" s="48">
        <v>40</v>
      </c>
      <c r="B37" s="9" t="s">
        <v>61</v>
      </c>
      <c r="C37" s="17" t="s">
        <v>175</v>
      </c>
      <c r="D37" s="64">
        <v>45964</v>
      </c>
      <c r="E37" s="211">
        <v>1</v>
      </c>
      <c r="F37" s="304"/>
    </row>
    <row r="38" spans="1:6" x14ac:dyDescent="0.2">
      <c r="A38" s="48">
        <v>41</v>
      </c>
      <c r="B38" s="46" t="s">
        <v>239</v>
      </c>
      <c r="C38" s="39" t="s">
        <v>107</v>
      </c>
      <c r="D38" s="64">
        <v>45979</v>
      </c>
      <c r="E38" s="211">
        <v>1</v>
      </c>
      <c r="F38" s="304"/>
    </row>
    <row r="39" spans="1:6" x14ac:dyDescent="0.2">
      <c r="A39" s="48">
        <v>42</v>
      </c>
      <c r="B39" s="9" t="s">
        <v>221</v>
      </c>
      <c r="C39" s="39" t="s">
        <v>265</v>
      </c>
      <c r="D39" s="64">
        <v>45980</v>
      </c>
      <c r="E39" s="211">
        <v>1</v>
      </c>
      <c r="F39" s="304"/>
    </row>
    <row r="40" spans="1:6" x14ac:dyDescent="0.2">
      <c r="A40" s="48">
        <v>43</v>
      </c>
      <c r="B40" s="91" t="s">
        <v>266</v>
      </c>
      <c r="C40" s="91" t="s">
        <v>269</v>
      </c>
      <c r="D40" s="158">
        <v>45987</v>
      </c>
      <c r="E40" s="176">
        <v>2</v>
      </c>
      <c r="F40" s="304"/>
    </row>
    <row r="41" spans="1:6" x14ac:dyDescent="0.2">
      <c r="A41" s="48">
        <v>44</v>
      </c>
      <c r="B41" s="148" t="s">
        <v>314</v>
      </c>
      <c r="C41" s="148" t="s">
        <v>315</v>
      </c>
      <c r="D41" s="159">
        <v>45987</v>
      </c>
      <c r="E41" s="212">
        <v>3</v>
      </c>
      <c r="F41" s="304"/>
    </row>
    <row r="42" spans="1:6" x14ac:dyDescent="0.2">
      <c r="A42" s="8">
        <v>45</v>
      </c>
      <c r="B42" s="114" t="s">
        <v>267</v>
      </c>
      <c r="C42" s="114" t="s">
        <v>268</v>
      </c>
      <c r="D42" s="123">
        <v>45987</v>
      </c>
      <c r="E42" s="209">
        <v>1</v>
      </c>
      <c r="F42" s="304"/>
    </row>
    <row r="43" spans="1:6" x14ac:dyDescent="0.2">
      <c r="A43" s="8">
        <v>46</v>
      </c>
      <c r="B43" s="9" t="s">
        <v>261</v>
      </c>
      <c r="C43" s="39" t="s">
        <v>104</v>
      </c>
      <c r="D43" s="68">
        <v>45990</v>
      </c>
      <c r="E43" s="213">
        <v>3</v>
      </c>
      <c r="F43" s="304"/>
    </row>
    <row r="44" spans="1:6" x14ac:dyDescent="0.2">
      <c r="A44" s="8">
        <v>47</v>
      </c>
      <c r="B44" s="9" t="s">
        <v>206</v>
      </c>
      <c r="C44" s="39" t="s">
        <v>104</v>
      </c>
      <c r="D44" s="68">
        <v>45991</v>
      </c>
      <c r="E44" s="213">
        <v>3</v>
      </c>
      <c r="F44" s="304"/>
    </row>
    <row r="45" spans="1:6" x14ac:dyDescent="0.2">
      <c r="A45" s="8">
        <v>48</v>
      </c>
      <c r="B45" s="46" t="s">
        <v>322</v>
      </c>
      <c r="C45" s="39" t="s">
        <v>323</v>
      </c>
      <c r="D45" s="50">
        <v>45992</v>
      </c>
      <c r="E45" s="170">
        <v>1</v>
      </c>
      <c r="F45" s="304"/>
    </row>
    <row r="46" spans="1:6" x14ac:dyDescent="0.2">
      <c r="A46" s="8">
        <v>49</v>
      </c>
      <c r="B46" s="63" t="s">
        <v>329</v>
      </c>
      <c r="C46" s="39" t="s">
        <v>330</v>
      </c>
      <c r="D46" s="50">
        <v>45994</v>
      </c>
      <c r="E46" s="170">
        <v>1</v>
      </c>
      <c r="F46" s="304"/>
    </row>
    <row r="47" spans="1:6" x14ac:dyDescent="0.2">
      <c r="A47" s="8">
        <v>50</v>
      </c>
      <c r="B47" s="63" t="s">
        <v>341</v>
      </c>
      <c r="C47" s="39" t="s">
        <v>349</v>
      </c>
      <c r="D47" s="50">
        <v>46003</v>
      </c>
      <c r="E47" s="170">
        <v>2</v>
      </c>
      <c r="F47" s="304"/>
    </row>
    <row r="48" spans="1:6" x14ac:dyDescent="0.2">
      <c r="A48" s="8">
        <v>51</v>
      </c>
      <c r="B48" s="63" t="s">
        <v>342</v>
      </c>
      <c r="C48" s="39" t="s">
        <v>343</v>
      </c>
      <c r="D48" s="50">
        <v>46003</v>
      </c>
      <c r="E48" s="170">
        <v>1</v>
      </c>
      <c r="F48" s="304"/>
    </row>
    <row r="49" spans="1:6" x14ac:dyDescent="0.2">
      <c r="A49" s="8">
        <v>52</v>
      </c>
      <c r="B49" s="63" t="s">
        <v>346</v>
      </c>
      <c r="C49" s="39" t="s">
        <v>350</v>
      </c>
      <c r="D49" s="50">
        <v>46006</v>
      </c>
      <c r="E49" s="170">
        <v>2</v>
      </c>
      <c r="F49" s="304"/>
    </row>
    <row r="50" spans="1:6" x14ac:dyDescent="0.2">
      <c r="A50" s="8">
        <v>53</v>
      </c>
      <c r="B50" s="66" t="s">
        <v>132</v>
      </c>
      <c r="C50" s="199" t="s">
        <v>343</v>
      </c>
      <c r="D50" s="202" t="s">
        <v>357</v>
      </c>
      <c r="E50" s="214">
        <v>1</v>
      </c>
      <c r="F50" s="304"/>
    </row>
    <row r="51" spans="1:6" x14ac:dyDescent="0.2">
      <c r="A51" s="8">
        <v>54</v>
      </c>
      <c r="B51" s="66" t="s">
        <v>390</v>
      </c>
      <c r="C51" s="17" t="s">
        <v>391</v>
      </c>
      <c r="D51" s="64">
        <v>46010</v>
      </c>
      <c r="E51" s="17">
        <v>3</v>
      </c>
      <c r="F51" s="304"/>
    </row>
    <row r="52" spans="1:6" x14ac:dyDescent="0.2">
      <c r="A52" s="8">
        <v>55</v>
      </c>
      <c r="B52" s="66" t="s">
        <v>390</v>
      </c>
      <c r="C52" s="17" t="s">
        <v>393</v>
      </c>
      <c r="D52" s="51">
        <v>46014</v>
      </c>
      <c r="E52" s="170">
        <v>1</v>
      </c>
      <c r="F52" s="304"/>
    </row>
    <row r="53" spans="1:6" x14ac:dyDescent="0.2">
      <c r="A53" s="8">
        <v>56</v>
      </c>
      <c r="B53" s="66" t="s">
        <v>390</v>
      </c>
      <c r="C53" s="17" t="s">
        <v>392</v>
      </c>
      <c r="D53" s="108">
        <v>46014</v>
      </c>
      <c r="E53" s="210">
        <v>1</v>
      </c>
      <c r="F53" s="304"/>
    </row>
    <row r="54" spans="1:6" x14ac:dyDescent="0.2">
      <c r="A54" s="8">
        <v>57</v>
      </c>
      <c r="B54" s="9" t="s">
        <v>333</v>
      </c>
      <c r="C54" s="39" t="s">
        <v>332</v>
      </c>
      <c r="D54" s="51">
        <v>46017</v>
      </c>
      <c r="E54" s="39">
        <v>2</v>
      </c>
      <c r="F54" s="304"/>
    </row>
    <row r="55" spans="1:6" x14ac:dyDescent="0.2">
      <c r="A55" s="8">
        <v>58</v>
      </c>
      <c r="B55" s="66" t="s">
        <v>423</v>
      </c>
      <c r="C55" s="9"/>
      <c r="D55" s="64">
        <v>46017</v>
      </c>
      <c r="E55" s="17">
        <v>1</v>
      </c>
      <c r="F55" s="304"/>
    </row>
    <row r="56" spans="1:6" x14ac:dyDescent="0.2">
      <c r="A56" s="8">
        <v>59</v>
      </c>
      <c r="B56" s="9" t="s">
        <v>424</v>
      </c>
      <c r="C56" s="9" t="s">
        <v>425</v>
      </c>
      <c r="D56" s="68">
        <v>46019</v>
      </c>
      <c r="E56" s="106">
        <v>2</v>
      </c>
      <c r="F56" s="304"/>
    </row>
    <row r="57" spans="1:6" x14ac:dyDescent="0.2">
      <c r="A57" s="8">
        <v>60</v>
      </c>
      <c r="B57" s="9" t="s">
        <v>339</v>
      </c>
      <c r="C57" s="17" t="s">
        <v>427</v>
      </c>
      <c r="D57" s="51">
        <v>46021</v>
      </c>
      <c r="E57" s="39">
        <v>1</v>
      </c>
      <c r="F57" s="304"/>
    </row>
    <row r="58" spans="1:6" x14ac:dyDescent="0.2">
      <c r="A58" s="8">
        <v>61</v>
      </c>
      <c r="B58" s="9" t="s">
        <v>339</v>
      </c>
      <c r="C58" s="17" t="s">
        <v>405</v>
      </c>
      <c r="D58" s="108">
        <v>46021</v>
      </c>
      <c r="E58" s="45">
        <v>2</v>
      </c>
      <c r="F58" s="304"/>
    </row>
    <row r="59" spans="1:6" x14ac:dyDescent="0.2">
      <c r="A59" s="8">
        <v>62</v>
      </c>
      <c r="B59" s="9" t="s">
        <v>428</v>
      </c>
      <c r="C59" s="17" t="s">
        <v>429</v>
      </c>
      <c r="D59" s="108">
        <v>46021</v>
      </c>
      <c r="E59" s="106">
        <v>2</v>
      </c>
      <c r="F59" s="304"/>
    </row>
    <row r="60" spans="1:6" x14ac:dyDescent="0.2">
      <c r="A60" s="8">
        <v>63</v>
      </c>
      <c r="B60" s="9" t="s">
        <v>435</v>
      </c>
      <c r="C60" s="39" t="s">
        <v>107</v>
      </c>
      <c r="D60" s="68">
        <v>46026</v>
      </c>
      <c r="E60" s="45">
        <v>2</v>
      </c>
      <c r="F60" s="304"/>
    </row>
    <row r="61" spans="1:6" x14ac:dyDescent="0.2">
      <c r="A61" s="8">
        <v>64</v>
      </c>
      <c r="B61" s="46" t="s">
        <v>322</v>
      </c>
      <c r="C61" s="17" t="s">
        <v>397</v>
      </c>
      <c r="D61" s="51">
        <v>46028</v>
      </c>
      <c r="E61" s="211">
        <v>1</v>
      </c>
      <c r="F61" s="304"/>
    </row>
    <row r="62" spans="1:6" x14ac:dyDescent="0.2">
      <c r="A62" s="8">
        <v>65</v>
      </c>
      <c r="B62" s="46" t="s">
        <v>339</v>
      </c>
      <c r="C62" s="17" t="s">
        <v>399</v>
      </c>
      <c r="D62" s="51">
        <v>46028</v>
      </c>
      <c r="E62" s="211">
        <v>1</v>
      </c>
      <c r="F62" s="304"/>
    </row>
    <row r="63" spans="1:6" x14ac:dyDescent="0.2">
      <c r="A63" s="8">
        <v>66</v>
      </c>
      <c r="B63" s="9" t="s">
        <v>435</v>
      </c>
      <c r="C63" s="39" t="s">
        <v>437</v>
      </c>
      <c r="D63" s="68">
        <v>46028</v>
      </c>
      <c r="E63" s="45">
        <v>2</v>
      </c>
      <c r="F63" s="304"/>
    </row>
    <row r="64" spans="1:6" x14ac:dyDescent="0.2">
      <c r="A64" s="8">
        <v>67</v>
      </c>
      <c r="B64" s="9" t="s">
        <v>435</v>
      </c>
      <c r="C64" s="39" t="s">
        <v>392</v>
      </c>
      <c r="D64" s="68">
        <v>46029</v>
      </c>
      <c r="E64" s="45">
        <v>2</v>
      </c>
      <c r="F64" s="304"/>
    </row>
    <row r="65" spans="1:6" x14ac:dyDescent="0.2">
      <c r="A65" s="8">
        <v>68</v>
      </c>
      <c r="B65" s="28" t="s">
        <v>381</v>
      </c>
      <c r="C65" s="17" t="s">
        <v>380</v>
      </c>
      <c r="D65" s="51">
        <v>46031</v>
      </c>
      <c r="E65" s="211">
        <v>2</v>
      </c>
      <c r="F65" s="304"/>
    </row>
    <row r="66" spans="1:6" x14ac:dyDescent="0.2">
      <c r="A66" s="8">
        <v>69</v>
      </c>
      <c r="B66" s="9" t="s">
        <v>411</v>
      </c>
      <c r="C66" s="39" t="s">
        <v>380</v>
      </c>
      <c r="D66" s="108">
        <v>46032</v>
      </c>
      <c r="E66" s="45">
        <v>2</v>
      </c>
      <c r="F66" s="304"/>
    </row>
    <row r="67" spans="1:6" x14ac:dyDescent="0.2">
      <c r="A67" s="8">
        <v>70</v>
      </c>
      <c r="B67" s="28" t="s">
        <v>408</v>
      </c>
      <c r="C67" s="17" t="s">
        <v>397</v>
      </c>
      <c r="D67" s="51">
        <v>46034</v>
      </c>
      <c r="E67" s="211">
        <v>2</v>
      </c>
      <c r="F67" s="304"/>
    </row>
    <row r="68" spans="1:6" x14ac:dyDescent="0.2">
      <c r="A68" s="8">
        <v>71</v>
      </c>
      <c r="B68" s="9" t="s">
        <v>398</v>
      </c>
      <c r="C68" s="17" t="s">
        <v>399</v>
      </c>
      <c r="D68" s="64">
        <v>46034</v>
      </c>
      <c r="E68" s="39">
        <v>1</v>
      </c>
      <c r="F68" s="304"/>
    </row>
    <row r="69" spans="1:6" x14ac:dyDescent="0.2">
      <c r="A69" s="8">
        <v>72</v>
      </c>
      <c r="B69" s="221" t="s">
        <v>445</v>
      </c>
      <c r="C69" s="17" t="s">
        <v>446</v>
      </c>
      <c r="D69" s="51">
        <v>46031</v>
      </c>
      <c r="E69" s="211">
        <v>1</v>
      </c>
      <c r="F69" s="304"/>
    </row>
    <row r="70" spans="1:6" x14ac:dyDescent="0.2">
      <c r="A70" s="8">
        <v>73</v>
      </c>
      <c r="B70" s="91" t="s">
        <v>266</v>
      </c>
      <c r="C70" s="17" t="s">
        <v>449</v>
      </c>
      <c r="D70" s="51">
        <v>46036</v>
      </c>
      <c r="E70" s="211">
        <v>1</v>
      </c>
      <c r="F70" s="304"/>
    </row>
    <row r="71" spans="1:6" x14ac:dyDescent="0.2">
      <c r="A71" s="8">
        <v>74</v>
      </c>
      <c r="B71" s="91" t="s">
        <v>266</v>
      </c>
      <c r="C71" s="17" t="s">
        <v>450</v>
      </c>
      <c r="D71" s="51">
        <v>46037</v>
      </c>
      <c r="E71" s="211">
        <v>1</v>
      </c>
      <c r="F71" s="304"/>
    </row>
    <row r="72" spans="1:6" x14ac:dyDescent="0.2">
      <c r="A72" s="8">
        <v>75</v>
      </c>
      <c r="B72" s="221" t="s">
        <v>61</v>
      </c>
      <c r="C72" s="17" t="s">
        <v>453</v>
      </c>
      <c r="D72" s="51">
        <v>46042</v>
      </c>
      <c r="E72" s="211">
        <v>1</v>
      </c>
      <c r="F72" s="304"/>
    </row>
    <row r="73" spans="1:6" x14ac:dyDescent="0.2">
      <c r="A73" s="8">
        <v>76</v>
      </c>
      <c r="B73" s="221" t="s">
        <v>473</v>
      </c>
      <c r="C73" s="17" t="s">
        <v>474</v>
      </c>
      <c r="D73" s="51">
        <v>46048</v>
      </c>
      <c r="E73" s="211">
        <v>1</v>
      </c>
      <c r="F73" s="304"/>
    </row>
    <row r="74" spans="1:6" x14ac:dyDescent="0.2">
      <c r="A74" s="8">
        <v>77</v>
      </c>
      <c r="B74" s="66" t="s">
        <v>475</v>
      </c>
      <c r="C74" s="17" t="s">
        <v>355</v>
      </c>
      <c r="D74" s="51">
        <v>46048</v>
      </c>
      <c r="E74" s="211">
        <v>2</v>
      </c>
      <c r="F74" s="304"/>
    </row>
    <row r="75" spans="1:6" x14ac:dyDescent="0.2">
      <c r="A75" s="8">
        <v>78</v>
      </c>
      <c r="B75" s="221" t="s">
        <v>476</v>
      </c>
      <c r="C75" s="17" t="s">
        <v>100</v>
      </c>
      <c r="D75" s="51">
        <v>46050</v>
      </c>
      <c r="E75" s="211">
        <v>4</v>
      </c>
      <c r="F75" s="304"/>
    </row>
    <row r="76" spans="1:6" x14ac:dyDescent="0.2">
      <c r="A76" s="8">
        <v>79</v>
      </c>
      <c r="B76" s="221" t="s">
        <v>476</v>
      </c>
      <c r="C76" s="17" t="s">
        <v>380</v>
      </c>
      <c r="D76" s="51">
        <v>46051</v>
      </c>
      <c r="E76" s="211">
        <v>1</v>
      </c>
      <c r="F76" s="304"/>
    </row>
    <row r="77" spans="1:6" x14ac:dyDescent="0.2">
      <c r="A77" s="8">
        <v>80</v>
      </c>
      <c r="B77" s="66" t="s">
        <v>475</v>
      </c>
      <c r="C77" s="17" t="s">
        <v>477</v>
      </c>
      <c r="D77" s="108">
        <v>46055</v>
      </c>
      <c r="E77" s="213">
        <v>3</v>
      </c>
      <c r="F77" s="304"/>
    </row>
    <row r="78" spans="1:6" x14ac:dyDescent="0.2">
      <c r="A78" s="8">
        <v>81</v>
      </c>
      <c r="B78" s="66" t="s">
        <v>475</v>
      </c>
      <c r="C78" s="17" t="s">
        <v>478</v>
      </c>
      <c r="D78" s="51">
        <v>46056</v>
      </c>
      <c r="E78" s="211">
        <v>1</v>
      </c>
      <c r="F78" s="304"/>
    </row>
    <row r="79" spans="1:6" x14ac:dyDescent="0.2">
      <c r="A79" s="8">
        <v>82</v>
      </c>
      <c r="B79" s="221" t="s">
        <v>479</v>
      </c>
      <c r="C79" s="17" t="s">
        <v>480</v>
      </c>
      <c r="D79" s="51">
        <v>46057</v>
      </c>
      <c r="E79" s="211">
        <v>1</v>
      </c>
      <c r="F79" s="304"/>
    </row>
    <row r="80" spans="1:6" x14ac:dyDescent="0.2">
      <c r="A80" s="8">
        <v>83</v>
      </c>
      <c r="B80" s="221" t="s">
        <v>479</v>
      </c>
      <c r="C80" s="17" t="s">
        <v>100</v>
      </c>
      <c r="D80" s="51">
        <v>46058</v>
      </c>
      <c r="E80" s="211">
        <v>4</v>
      </c>
      <c r="F80" s="304"/>
    </row>
    <row r="81" spans="1:6" x14ac:dyDescent="0.2">
      <c r="A81" s="8">
        <v>84</v>
      </c>
      <c r="B81" s="221" t="s">
        <v>479</v>
      </c>
      <c r="C81" s="17" t="s">
        <v>100</v>
      </c>
      <c r="D81" s="51">
        <v>46059</v>
      </c>
      <c r="E81" s="211">
        <v>4</v>
      </c>
      <c r="F81" s="304"/>
    </row>
    <row r="82" spans="1:6" x14ac:dyDescent="0.2">
      <c r="A82" s="8">
        <v>85</v>
      </c>
      <c r="B82" s="221" t="s">
        <v>479</v>
      </c>
      <c r="C82" s="17" t="s">
        <v>100</v>
      </c>
      <c r="D82" s="108">
        <v>46060</v>
      </c>
      <c r="E82" s="213">
        <v>5</v>
      </c>
      <c r="F82" s="304"/>
    </row>
    <row r="83" spans="1:6" x14ac:dyDescent="0.2">
      <c r="A83" s="8">
        <v>86</v>
      </c>
      <c r="B83" s="221" t="s">
        <v>481</v>
      </c>
      <c r="C83" s="47" t="s">
        <v>482</v>
      </c>
      <c r="D83" s="51">
        <v>46062</v>
      </c>
      <c r="E83" s="211">
        <v>1</v>
      </c>
      <c r="F83" s="304"/>
    </row>
    <row r="84" spans="1:6" x14ac:dyDescent="0.2">
      <c r="A84" s="8">
        <v>87</v>
      </c>
      <c r="B84" s="66" t="s">
        <v>475</v>
      </c>
      <c r="C84" s="17" t="s">
        <v>483</v>
      </c>
      <c r="D84" s="51">
        <v>46062</v>
      </c>
      <c r="E84" s="211">
        <v>1</v>
      </c>
      <c r="F84" s="304"/>
    </row>
    <row r="85" spans="1:6" x14ac:dyDescent="0.2">
      <c r="A85" s="8">
        <v>88</v>
      </c>
      <c r="B85" s="221" t="s">
        <v>484</v>
      </c>
      <c r="C85" s="17" t="s">
        <v>485</v>
      </c>
      <c r="D85" s="51">
        <v>46062</v>
      </c>
      <c r="E85" s="211">
        <v>1</v>
      </c>
      <c r="F85" s="304"/>
    </row>
    <row r="86" spans="1:6" x14ac:dyDescent="0.2">
      <c r="A86" s="8">
        <v>89</v>
      </c>
      <c r="B86" s="66" t="s">
        <v>475</v>
      </c>
      <c r="C86" s="17" t="s">
        <v>160</v>
      </c>
      <c r="D86" s="51">
        <v>46063</v>
      </c>
      <c r="E86" s="211">
        <v>1</v>
      </c>
      <c r="F86" s="304"/>
    </row>
    <row r="87" spans="1:6" x14ac:dyDescent="0.2">
      <c r="A87" s="8">
        <v>90</v>
      </c>
      <c r="B87" s="221" t="s">
        <v>486</v>
      </c>
      <c r="C87" s="17" t="s">
        <v>384</v>
      </c>
      <c r="D87" s="51">
        <v>46063</v>
      </c>
      <c r="E87" s="211">
        <v>1</v>
      </c>
      <c r="F87" s="304"/>
    </row>
    <row r="88" spans="1:6" x14ac:dyDescent="0.2">
      <c r="A88" s="8">
        <v>91</v>
      </c>
      <c r="B88" s="221" t="s">
        <v>487</v>
      </c>
      <c r="C88" s="17" t="s">
        <v>488</v>
      </c>
      <c r="D88" s="51">
        <v>46064</v>
      </c>
      <c r="E88" s="211">
        <v>1</v>
      </c>
      <c r="F88" s="304"/>
    </row>
    <row r="89" spans="1:6" x14ac:dyDescent="0.2">
      <c r="A89" s="8">
        <v>92</v>
      </c>
      <c r="B89" s="221" t="s">
        <v>489</v>
      </c>
      <c r="C89" s="17" t="s">
        <v>490</v>
      </c>
      <c r="D89" s="51">
        <v>46064</v>
      </c>
      <c r="E89" s="211">
        <v>1</v>
      </c>
      <c r="F89" s="304"/>
    </row>
    <row r="90" spans="1:6" x14ac:dyDescent="0.2">
      <c r="A90" s="8">
        <v>93</v>
      </c>
      <c r="B90" s="9" t="s">
        <v>531</v>
      </c>
      <c r="C90" s="17" t="s">
        <v>332</v>
      </c>
      <c r="D90" s="9"/>
      <c r="E90" s="39">
        <v>1</v>
      </c>
      <c r="F90" s="304"/>
    </row>
    <row r="91" spans="1:6" x14ac:dyDescent="0.2">
      <c r="A91" s="8">
        <v>94</v>
      </c>
      <c r="B91" s="188" t="s">
        <v>61</v>
      </c>
      <c r="C91" s="225" t="s">
        <v>107</v>
      </c>
      <c r="D91" s="162">
        <v>45706</v>
      </c>
      <c r="E91" s="149">
        <v>1</v>
      </c>
      <c r="F91" s="304"/>
    </row>
    <row r="92" spans="1:6" x14ac:dyDescent="0.2">
      <c r="A92" s="8">
        <v>95</v>
      </c>
      <c r="B92" s="221" t="s">
        <v>525</v>
      </c>
      <c r="C92" s="17" t="s">
        <v>518</v>
      </c>
      <c r="D92" s="51">
        <v>46078</v>
      </c>
      <c r="E92" s="211">
        <v>1</v>
      </c>
      <c r="F92" s="304"/>
    </row>
    <row r="93" spans="1:6" x14ac:dyDescent="0.2">
      <c r="A93" s="8">
        <v>96</v>
      </c>
      <c r="B93" s="221" t="s">
        <v>525</v>
      </c>
      <c r="C93" s="17" t="s">
        <v>518</v>
      </c>
      <c r="D93" s="51">
        <v>46085</v>
      </c>
      <c r="E93" s="211">
        <v>1</v>
      </c>
      <c r="F93" s="304"/>
    </row>
    <row r="94" spans="1:6" x14ac:dyDescent="0.2">
      <c r="A94" s="8">
        <v>97</v>
      </c>
      <c r="B94" s="9" t="s">
        <v>132</v>
      </c>
      <c r="C94" s="39" t="s">
        <v>526</v>
      </c>
      <c r="D94" s="64">
        <v>46087</v>
      </c>
      <c r="E94" s="39">
        <v>2</v>
      </c>
      <c r="F94" s="304"/>
    </row>
    <row r="95" spans="1:6" x14ac:dyDescent="0.2">
      <c r="A95" s="8">
        <v>98</v>
      </c>
      <c r="B95" s="74" t="s">
        <v>555</v>
      </c>
      <c r="C95" s="140" t="s">
        <v>556</v>
      </c>
      <c r="D95" s="258"/>
      <c r="E95" s="217">
        <v>10</v>
      </c>
      <c r="F95" s="304"/>
    </row>
    <row r="96" spans="1:6" x14ac:dyDescent="0.2">
      <c r="A96" s="8">
        <v>99</v>
      </c>
      <c r="B96" s="9" t="s">
        <v>516</v>
      </c>
      <c r="C96" s="39" t="s">
        <v>576</v>
      </c>
      <c r="D96" s="64">
        <v>46121</v>
      </c>
      <c r="E96" s="39">
        <v>1</v>
      </c>
      <c r="F96" s="304"/>
    </row>
    <row r="97" spans="1:6" x14ac:dyDescent="0.2">
      <c r="A97" s="8">
        <v>100</v>
      </c>
      <c r="B97" s="9" t="s">
        <v>541</v>
      </c>
      <c r="C97" s="39" t="s">
        <v>542</v>
      </c>
      <c r="D97" s="68">
        <v>46123</v>
      </c>
      <c r="E97" s="45">
        <v>3</v>
      </c>
      <c r="F97" s="304"/>
    </row>
    <row r="98" spans="1:6" x14ac:dyDescent="0.2">
      <c r="A98" s="8">
        <v>101</v>
      </c>
      <c r="B98" s="66" t="s">
        <v>267</v>
      </c>
      <c r="C98" s="39" t="s">
        <v>594</v>
      </c>
      <c r="D98" s="64">
        <v>46127</v>
      </c>
      <c r="E98" s="39">
        <v>1</v>
      </c>
      <c r="F98" s="304"/>
    </row>
    <row r="99" spans="1:6" x14ac:dyDescent="0.2">
      <c r="A99" s="8">
        <v>102</v>
      </c>
      <c r="B99" s="9" t="s">
        <v>516</v>
      </c>
      <c r="C99" s="39" t="s">
        <v>596</v>
      </c>
      <c r="D99" s="123">
        <v>46128</v>
      </c>
      <c r="E99" s="39">
        <v>1</v>
      </c>
      <c r="F99" s="304"/>
    </row>
    <row r="100" spans="1:6" x14ac:dyDescent="0.2">
      <c r="A100" s="8">
        <v>103</v>
      </c>
      <c r="B100" s="9" t="s">
        <v>539</v>
      </c>
      <c r="C100" s="17" t="s">
        <v>599</v>
      </c>
      <c r="D100" s="68">
        <v>46131</v>
      </c>
      <c r="E100" s="45">
        <v>2</v>
      </c>
      <c r="F100" s="304"/>
    </row>
    <row r="101" spans="1:6" x14ac:dyDescent="0.2">
      <c r="A101" s="8">
        <v>104</v>
      </c>
      <c r="B101" s="9" t="s">
        <v>613</v>
      </c>
      <c r="C101" s="115" t="s">
        <v>614</v>
      </c>
      <c r="D101" s="123">
        <v>46134</v>
      </c>
      <c r="E101" s="39">
        <v>1</v>
      </c>
      <c r="F101" s="304"/>
    </row>
    <row r="102" spans="1:6" x14ac:dyDescent="0.2">
      <c r="A102" s="8">
        <v>105</v>
      </c>
      <c r="B102" s="9" t="s">
        <v>615</v>
      </c>
      <c r="C102" s="115" t="s">
        <v>578</v>
      </c>
      <c r="D102" s="123">
        <v>46134</v>
      </c>
      <c r="E102" s="39">
        <v>1</v>
      </c>
      <c r="F102" s="304"/>
    </row>
    <row r="103" spans="1:6" x14ac:dyDescent="0.2">
      <c r="A103" s="8">
        <v>106</v>
      </c>
      <c r="B103" s="9" t="s">
        <v>613</v>
      </c>
      <c r="C103" s="115" t="s">
        <v>104</v>
      </c>
      <c r="D103" s="123">
        <v>46136</v>
      </c>
      <c r="E103" s="39">
        <v>2</v>
      </c>
      <c r="F103" s="304"/>
    </row>
    <row r="104" spans="1:6" x14ac:dyDescent="0.2">
      <c r="A104" s="8">
        <v>107</v>
      </c>
      <c r="B104" s="9" t="s">
        <v>593</v>
      </c>
      <c r="C104" s="112" t="s">
        <v>542</v>
      </c>
      <c r="D104" s="262">
        <v>46137</v>
      </c>
      <c r="E104" s="45">
        <v>3</v>
      </c>
      <c r="F104" s="304"/>
    </row>
    <row r="105" spans="1:6" x14ac:dyDescent="0.2">
      <c r="A105" s="8">
        <v>108</v>
      </c>
      <c r="B105" s="9" t="s">
        <v>613</v>
      </c>
      <c r="C105" s="39" t="s">
        <v>627</v>
      </c>
      <c r="D105" s="64">
        <v>46141</v>
      </c>
      <c r="E105" s="211">
        <v>1</v>
      </c>
      <c r="F105" s="304"/>
    </row>
    <row r="106" spans="1:6" x14ac:dyDescent="0.2">
      <c r="A106" s="8">
        <v>109</v>
      </c>
      <c r="B106" s="9" t="s">
        <v>628</v>
      </c>
      <c r="C106" s="39" t="s">
        <v>629</v>
      </c>
      <c r="D106" s="64">
        <v>46141</v>
      </c>
      <c r="E106" s="211">
        <v>1</v>
      </c>
      <c r="F106" s="304"/>
    </row>
    <row r="107" spans="1:6" x14ac:dyDescent="0.2">
      <c r="A107" s="8">
        <v>110</v>
      </c>
      <c r="B107" s="9" t="s">
        <v>630</v>
      </c>
      <c r="C107" s="39" t="s">
        <v>107</v>
      </c>
      <c r="D107" s="64">
        <v>46150</v>
      </c>
      <c r="E107" s="211">
        <v>1</v>
      </c>
      <c r="F107" s="304"/>
    </row>
    <row r="108" spans="1:6" x14ac:dyDescent="0.2">
      <c r="A108" s="8">
        <v>111</v>
      </c>
      <c r="B108" s="9" t="s">
        <v>648</v>
      </c>
      <c r="C108" s="39" t="s">
        <v>634</v>
      </c>
      <c r="D108" s="123">
        <v>46155</v>
      </c>
      <c r="E108" s="211">
        <v>1</v>
      </c>
      <c r="F108" s="304"/>
    </row>
    <row r="109" spans="1:6" x14ac:dyDescent="0.2">
      <c r="A109" s="8">
        <v>112</v>
      </c>
      <c r="B109" s="9" t="s">
        <v>615</v>
      </c>
      <c r="C109" s="39" t="s">
        <v>650</v>
      </c>
      <c r="D109" s="64">
        <v>46155</v>
      </c>
      <c r="E109" s="211">
        <v>1</v>
      </c>
      <c r="F109" s="304"/>
    </row>
    <row r="110" spans="1:6" x14ac:dyDescent="0.2">
      <c r="A110" s="8">
        <v>113</v>
      </c>
      <c r="B110" s="9" t="s">
        <v>651</v>
      </c>
      <c r="C110" s="39" t="s">
        <v>527</v>
      </c>
      <c r="D110" s="64">
        <v>46155</v>
      </c>
      <c r="E110" s="211">
        <v>1</v>
      </c>
      <c r="F110" s="304"/>
    </row>
    <row r="111" spans="1:6" x14ac:dyDescent="0.2">
      <c r="A111" s="8">
        <v>114</v>
      </c>
      <c r="B111" s="9"/>
      <c r="C111" s="39"/>
      <c r="D111" s="64"/>
      <c r="E111" s="211"/>
      <c r="F111" s="304"/>
    </row>
    <row r="112" spans="1:6" x14ac:dyDescent="0.2">
      <c r="A112" s="8">
        <v>115</v>
      </c>
      <c r="B112" s="9"/>
      <c r="C112" s="39"/>
      <c r="D112" s="64"/>
      <c r="E112" s="211"/>
      <c r="F112" s="304"/>
    </row>
    <row r="113" spans="1:6" x14ac:dyDescent="0.2">
      <c r="A113" s="8">
        <v>116</v>
      </c>
      <c r="B113" s="9" t="s">
        <v>402</v>
      </c>
      <c r="C113" s="17" t="s">
        <v>622</v>
      </c>
      <c r="D113" s="64">
        <v>46174</v>
      </c>
      <c r="E113" s="39">
        <v>1</v>
      </c>
      <c r="F113" s="304"/>
    </row>
    <row r="114" spans="1:6" x14ac:dyDescent="0.2">
      <c r="A114" s="8"/>
      <c r="B114" s="9" t="s">
        <v>354</v>
      </c>
      <c r="C114" s="17" t="s">
        <v>397</v>
      </c>
      <c r="D114" s="64">
        <v>46175</v>
      </c>
      <c r="E114" s="211">
        <v>1</v>
      </c>
      <c r="F114" s="304"/>
    </row>
    <row r="115" spans="1:6" x14ac:dyDescent="0.2">
      <c r="A115" s="8">
        <v>117</v>
      </c>
      <c r="B115" s="9" t="s">
        <v>339</v>
      </c>
      <c r="C115" s="17" t="s">
        <v>654</v>
      </c>
      <c r="D115" s="64">
        <v>46177</v>
      </c>
      <c r="E115" s="211">
        <v>1</v>
      </c>
      <c r="F115" s="304"/>
    </row>
    <row r="116" spans="1:6" x14ac:dyDescent="0.2">
      <c r="A116" s="8">
        <v>118</v>
      </c>
      <c r="B116" s="9" t="s">
        <v>409</v>
      </c>
      <c r="C116" s="39" t="s">
        <v>606</v>
      </c>
      <c r="D116" s="64">
        <v>46178</v>
      </c>
      <c r="E116" s="39">
        <v>1</v>
      </c>
      <c r="F116" s="304"/>
    </row>
    <row r="117" spans="1:6" x14ac:dyDescent="0.2">
      <c r="A117" s="8">
        <v>119</v>
      </c>
      <c r="B117" s="9" t="s">
        <v>311</v>
      </c>
      <c r="C117" s="17" t="s">
        <v>606</v>
      </c>
      <c r="D117" s="68">
        <v>46180</v>
      </c>
      <c r="E117" s="45">
        <v>2</v>
      </c>
      <c r="F117" s="304"/>
    </row>
    <row r="118" spans="1:6" x14ac:dyDescent="0.2">
      <c r="A118" s="8">
        <v>120</v>
      </c>
      <c r="B118" s="9" t="s">
        <v>322</v>
      </c>
      <c r="C118" s="17" t="s">
        <v>622</v>
      </c>
      <c r="D118" s="68">
        <v>46180</v>
      </c>
      <c r="E118" s="45">
        <v>2</v>
      </c>
      <c r="F118" s="304"/>
    </row>
    <row r="119" spans="1:6" x14ac:dyDescent="0.2">
      <c r="A119" s="8">
        <v>121</v>
      </c>
      <c r="B119" s="9" t="s">
        <v>656</v>
      </c>
      <c r="C119" s="39" t="s">
        <v>606</v>
      </c>
      <c r="D119" s="64">
        <v>46181</v>
      </c>
      <c r="E119" s="39">
        <v>1</v>
      </c>
      <c r="F119" s="304"/>
    </row>
    <row r="120" spans="1:6" x14ac:dyDescent="0.2">
      <c r="A120" s="8">
        <v>122</v>
      </c>
      <c r="B120" s="9" t="s">
        <v>402</v>
      </c>
      <c r="C120" s="17" t="s">
        <v>397</v>
      </c>
      <c r="D120" s="64">
        <v>46181</v>
      </c>
      <c r="E120" s="39">
        <v>1</v>
      </c>
      <c r="F120" s="304"/>
    </row>
    <row r="121" spans="1:6" x14ac:dyDescent="0.2">
      <c r="A121" s="8">
        <v>123</v>
      </c>
      <c r="B121" s="28" t="s">
        <v>619</v>
      </c>
      <c r="C121" s="17" t="s">
        <v>606</v>
      </c>
      <c r="D121" s="64">
        <v>46183</v>
      </c>
      <c r="E121" s="211">
        <v>2</v>
      </c>
      <c r="F121" s="304"/>
    </row>
    <row r="122" spans="1:6" x14ac:dyDescent="0.2">
      <c r="A122" s="8">
        <v>124</v>
      </c>
      <c r="B122" s="9" t="s">
        <v>354</v>
      </c>
      <c r="C122" s="17" t="s">
        <v>606</v>
      </c>
      <c r="D122" s="64">
        <v>46184</v>
      </c>
      <c r="E122" s="211">
        <v>1</v>
      </c>
      <c r="F122" s="304"/>
    </row>
    <row r="123" spans="1:6" x14ac:dyDescent="0.2">
      <c r="A123" s="8">
        <v>125</v>
      </c>
      <c r="B123" s="9"/>
      <c r="C123" s="17"/>
      <c r="D123" s="64"/>
      <c r="E123" s="39"/>
      <c r="F123" s="304"/>
    </row>
    <row r="124" spans="1:6" x14ac:dyDescent="0.2">
      <c r="A124" s="8">
        <v>126</v>
      </c>
      <c r="B124" s="9"/>
      <c r="C124" s="17"/>
      <c r="D124" s="64"/>
      <c r="E124" s="39"/>
      <c r="F124" s="304"/>
    </row>
    <row r="125" spans="1:6" x14ac:dyDescent="0.2">
      <c r="A125" s="8">
        <v>127</v>
      </c>
      <c r="B125" s="9"/>
      <c r="C125" s="39"/>
      <c r="D125" s="64"/>
      <c r="E125" s="211"/>
      <c r="F125" s="304"/>
    </row>
    <row r="126" spans="1:6" x14ac:dyDescent="0.2">
      <c r="A126" s="8">
        <v>128</v>
      </c>
      <c r="B126" s="9"/>
      <c r="C126" s="39"/>
      <c r="D126" s="64"/>
      <c r="E126" s="211"/>
      <c r="F126" s="304"/>
    </row>
    <row r="127" spans="1:6" x14ac:dyDescent="0.2">
      <c r="A127" s="8">
        <v>129</v>
      </c>
      <c r="B127" s="9"/>
      <c r="C127" s="39"/>
      <c r="D127" s="64"/>
      <c r="E127" s="211"/>
      <c r="F127" s="304"/>
    </row>
    <row r="128" spans="1:6" x14ac:dyDescent="0.2">
      <c r="A128" s="8">
        <v>130</v>
      </c>
      <c r="B128" s="9"/>
      <c r="C128" s="39"/>
      <c r="D128" s="64"/>
      <c r="E128" s="211"/>
      <c r="F128" s="304"/>
    </row>
    <row r="129" spans="1:6" x14ac:dyDescent="0.2">
      <c r="A129" s="8">
        <v>131</v>
      </c>
      <c r="B129" s="9"/>
      <c r="C129" s="39"/>
      <c r="D129" s="64"/>
      <c r="E129" s="211"/>
      <c r="F129" s="304"/>
    </row>
    <row r="130" spans="1:6" x14ac:dyDescent="0.2">
      <c r="A130" s="8">
        <v>132</v>
      </c>
      <c r="B130" s="9"/>
      <c r="C130" s="39"/>
      <c r="D130" s="64"/>
      <c r="E130" s="211"/>
      <c r="F130" s="304"/>
    </row>
    <row r="131" spans="1:6" x14ac:dyDescent="0.2">
      <c r="A131" s="8">
        <v>133</v>
      </c>
      <c r="B131" s="9"/>
      <c r="C131" s="9"/>
      <c r="D131" s="51"/>
      <c r="E131" s="170"/>
      <c r="F131" s="304"/>
    </row>
    <row r="132" spans="1:6" ht="17" thickBot="1" x14ac:dyDescent="0.25"/>
    <row r="133" spans="1:6" ht="17" thickBot="1" x14ac:dyDescent="0.25">
      <c r="A133" s="309" t="s">
        <v>92</v>
      </c>
      <c r="B133" s="310"/>
      <c r="C133" s="310"/>
      <c r="D133" s="310"/>
      <c r="E133" s="62">
        <f>SUM(E2:E131)</f>
        <v>274</v>
      </c>
    </row>
  </sheetData>
  <mergeCells count="6">
    <mergeCell ref="I1:L1"/>
    <mergeCell ref="N1:O1"/>
    <mergeCell ref="A133:D133"/>
    <mergeCell ref="F14:F131"/>
    <mergeCell ref="F2:F13"/>
    <mergeCell ref="J10:O10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FCB53-A875-194F-BD89-19D37C32AA8D}">
  <dimension ref="A1:K106"/>
  <sheetViews>
    <sheetView topLeftCell="A75" zoomScale="119" zoomScaleNormal="100" workbookViewId="0">
      <selection activeCell="J96" sqref="J96"/>
    </sheetView>
  </sheetViews>
  <sheetFormatPr baseColWidth="10" defaultRowHeight="16" x14ac:dyDescent="0.2"/>
  <cols>
    <col min="1" max="1" width="7.33203125" style="7" customWidth="1"/>
    <col min="2" max="2" width="48.33203125" style="7" bestFit="1" customWidth="1"/>
    <col min="3" max="3" width="12.33203125" style="40" customWidth="1"/>
    <col min="4" max="4" width="25.33203125" style="7" customWidth="1"/>
    <col min="5" max="5" width="7" style="47" bestFit="1" customWidth="1"/>
    <col min="6" max="8" width="10.83203125" style="7"/>
    <col min="9" max="9" width="4.83203125" style="7" customWidth="1"/>
    <col min="10" max="10" width="69.1640625" style="7" bestFit="1" customWidth="1"/>
    <col min="11" max="11" width="28.1640625" style="7" bestFit="1" customWidth="1"/>
    <col min="12" max="16384" width="10.83203125" style="7"/>
  </cols>
  <sheetData>
    <row r="1" spans="1:11" s="36" customFormat="1" x14ac:dyDescent="0.2">
      <c r="A1" s="8" t="s">
        <v>13</v>
      </c>
      <c r="B1" s="18" t="s">
        <v>14</v>
      </c>
      <c r="C1" s="18" t="s">
        <v>1</v>
      </c>
      <c r="D1" s="18" t="s">
        <v>0</v>
      </c>
      <c r="E1" s="18" t="s">
        <v>15</v>
      </c>
      <c r="I1" s="301" t="s">
        <v>47</v>
      </c>
      <c r="J1" s="301"/>
    </row>
    <row r="2" spans="1:11" x14ac:dyDescent="0.2">
      <c r="A2" s="8">
        <v>1</v>
      </c>
      <c r="B2" s="9" t="s">
        <v>128</v>
      </c>
      <c r="C2" s="59" t="s">
        <v>116</v>
      </c>
      <c r="D2" s="70">
        <v>45862</v>
      </c>
      <c r="E2" s="17">
        <v>6</v>
      </c>
      <c r="F2" s="304">
        <f>SUM(E2:E9)</f>
        <v>51</v>
      </c>
      <c r="I2" s="39">
        <v>1</v>
      </c>
      <c r="J2" s="9" t="s">
        <v>48</v>
      </c>
    </row>
    <row r="3" spans="1:11" x14ac:dyDescent="0.2">
      <c r="A3" s="8">
        <v>2</v>
      </c>
      <c r="B3" s="32" t="s">
        <v>127</v>
      </c>
      <c r="C3" s="59" t="s">
        <v>116</v>
      </c>
      <c r="D3" s="70">
        <v>45863</v>
      </c>
      <c r="E3" s="17">
        <v>8</v>
      </c>
      <c r="F3" s="304"/>
      <c r="I3" s="39">
        <v>2</v>
      </c>
      <c r="J3" s="9" t="s">
        <v>49</v>
      </c>
    </row>
    <row r="4" spans="1:11" x14ac:dyDescent="0.2">
      <c r="A4" s="8">
        <v>3</v>
      </c>
      <c r="B4" s="52" t="s">
        <v>139</v>
      </c>
      <c r="C4" s="53" t="s">
        <v>140</v>
      </c>
      <c r="D4" s="54">
        <v>45863</v>
      </c>
      <c r="E4" s="17">
        <v>2</v>
      </c>
      <c r="F4" s="304"/>
      <c r="I4" s="39">
        <v>3</v>
      </c>
      <c r="J4" s="9" t="s">
        <v>50</v>
      </c>
    </row>
    <row r="5" spans="1:11" x14ac:dyDescent="0.2">
      <c r="A5" s="8">
        <v>4</v>
      </c>
      <c r="B5" s="32" t="s">
        <v>127</v>
      </c>
      <c r="C5" s="59" t="s">
        <v>116</v>
      </c>
      <c r="D5" s="70">
        <v>45867</v>
      </c>
      <c r="E5" s="17">
        <v>8</v>
      </c>
      <c r="F5" s="304"/>
      <c r="I5" s="39">
        <v>4</v>
      </c>
      <c r="J5" s="9" t="s">
        <v>51</v>
      </c>
    </row>
    <row r="6" spans="1:11" x14ac:dyDescent="0.2">
      <c r="A6" s="8">
        <v>5</v>
      </c>
      <c r="B6" s="9" t="s">
        <v>128</v>
      </c>
      <c r="C6" s="59" t="s">
        <v>116</v>
      </c>
      <c r="D6" s="70">
        <v>45868</v>
      </c>
      <c r="E6" s="17">
        <v>6</v>
      </c>
      <c r="F6" s="304"/>
      <c r="I6" s="39">
        <v>5</v>
      </c>
      <c r="J6" s="9" t="s">
        <v>324</v>
      </c>
      <c r="K6" s="7" t="s">
        <v>212</v>
      </c>
    </row>
    <row r="7" spans="1:11" x14ac:dyDescent="0.2">
      <c r="A7" s="8">
        <v>6</v>
      </c>
      <c r="B7" s="9" t="s">
        <v>128</v>
      </c>
      <c r="C7" s="59" t="s">
        <v>116</v>
      </c>
      <c r="D7" s="70">
        <v>45869</v>
      </c>
      <c r="E7" s="17">
        <v>6</v>
      </c>
      <c r="F7" s="304"/>
      <c r="I7" s="40"/>
    </row>
    <row r="8" spans="1:11" x14ac:dyDescent="0.2">
      <c r="A8" s="8">
        <v>7</v>
      </c>
      <c r="B8" s="37" t="s">
        <v>122</v>
      </c>
      <c r="C8" s="59" t="s">
        <v>105</v>
      </c>
      <c r="D8" s="70">
        <v>45873</v>
      </c>
      <c r="E8" s="17">
        <v>3</v>
      </c>
      <c r="F8" s="304"/>
      <c r="I8" s="166" t="s">
        <v>184</v>
      </c>
      <c r="J8" s="167" t="s">
        <v>344</v>
      </c>
    </row>
    <row r="9" spans="1:11" ht="17" thickBot="1" x14ac:dyDescent="0.25">
      <c r="A9" s="124">
        <v>8</v>
      </c>
      <c r="B9" s="128" t="s">
        <v>121</v>
      </c>
      <c r="C9" s="137" t="s">
        <v>112</v>
      </c>
      <c r="D9" s="138" t="s">
        <v>248</v>
      </c>
      <c r="E9" s="136">
        <v>12</v>
      </c>
      <c r="F9" s="304"/>
    </row>
    <row r="10" spans="1:11" ht="17" thickTop="1" x14ac:dyDescent="0.2">
      <c r="A10" s="122">
        <v>9</v>
      </c>
      <c r="B10" s="7" t="s">
        <v>191</v>
      </c>
      <c r="C10" s="112"/>
      <c r="D10" s="95">
        <v>45925</v>
      </c>
      <c r="E10" s="115">
        <v>2</v>
      </c>
      <c r="F10" s="304">
        <f>SUM(E10:E77)</f>
        <v>122</v>
      </c>
      <c r="I10" s="261" t="s">
        <v>184</v>
      </c>
      <c r="J10" s="261" t="s">
        <v>434</v>
      </c>
    </row>
    <row r="11" spans="1:11" x14ac:dyDescent="0.2">
      <c r="A11" s="8">
        <v>10</v>
      </c>
      <c r="B11" s="37" t="s">
        <v>115</v>
      </c>
      <c r="C11" s="59" t="s">
        <v>126</v>
      </c>
      <c r="D11" s="96">
        <v>45928</v>
      </c>
      <c r="E11" s="106">
        <v>3</v>
      </c>
      <c r="F11" s="304"/>
      <c r="I11" s="261" t="s">
        <v>184</v>
      </c>
      <c r="J11" s="261" t="s">
        <v>565</v>
      </c>
    </row>
    <row r="12" spans="1:11" x14ac:dyDescent="0.2">
      <c r="A12" s="8">
        <v>11</v>
      </c>
      <c r="B12" s="37" t="s">
        <v>114</v>
      </c>
      <c r="C12" s="59" t="s">
        <v>105</v>
      </c>
      <c r="D12" s="70">
        <v>45929</v>
      </c>
      <c r="E12" s="17">
        <v>2</v>
      </c>
      <c r="F12" s="304"/>
      <c r="I12" s="261" t="s">
        <v>184</v>
      </c>
      <c r="J12" s="261" t="s">
        <v>642</v>
      </c>
    </row>
    <row r="13" spans="1:11" x14ac:dyDescent="0.2">
      <c r="A13" s="8">
        <v>12</v>
      </c>
      <c r="B13" s="37" t="s">
        <v>113</v>
      </c>
      <c r="C13" s="59" t="s">
        <v>105</v>
      </c>
      <c r="D13" s="70">
        <v>45932</v>
      </c>
      <c r="E13" s="17">
        <v>2</v>
      </c>
      <c r="F13" s="304"/>
      <c r="I13" s="261"/>
      <c r="J13" s="261"/>
    </row>
    <row r="14" spans="1:11" x14ac:dyDescent="0.2">
      <c r="A14" s="8">
        <v>13</v>
      </c>
      <c r="B14" s="37" t="s">
        <v>117</v>
      </c>
      <c r="C14" s="59" t="s">
        <v>118</v>
      </c>
      <c r="D14" s="70">
        <v>45945</v>
      </c>
      <c r="E14" s="17">
        <v>16</v>
      </c>
      <c r="F14" s="304"/>
      <c r="I14" s="261"/>
      <c r="J14" s="261"/>
    </row>
    <row r="15" spans="1:11" x14ac:dyDescent="0.2">
      <c r="A15" s="8">
        <v>14</v>
      </c>
      <c r="B15" s="9" t="s">
        <v>125</v>
      </c>
      <c r="C15" s="39"/>
      <c r="D15" s="64">
        <v>45946</v>
      </c>
      <c r="E15" s="17">
        <v>1</v>
      </c>
      <c r="F15" s="304"/>
      <c r="I15" s="261"/>
      <c r="J15" s="261"/>
    </row>
    <row r="16" spans="1:11" x14ac:dyDescent="0.2">
      <c r="A16" s="8">
        <v>15</v>
      </c>
      <c r="B16" s="9" t="s">
        <v>132</v>
      </c>
      <c r="C16" s="39" t="s">
        <v>105</v>
      </c>
      <c r="D16" s="64">
        <v>45951</v>
      </c>
      <c r="E16" s="39">
        <v>3</v>
      </c>
      <c r="F16" s="304"/>
      <c r="I16" s="261"/>
      <c r="J16" s="261"/>
    </row>
    <row r="17" spans="1:10" x14ac:dyDescent="0.2">
      <c r="A17" s="8">
        <v>16</v>
      </c>
      <c r="B17" s="9" t="s">
        <v>207</v>
      </c>
      <c r="C17" s="39" t="s">
        <v>200</v>
      </c>
      <c r="D17" s="64">
        <v>45966</v>
      </c>
      <c r="E17" s="39">
        <v>1</v>
      </c>
      <c r="F17" s="304"/>
      <c r="I17" s="261"/>
      <c r="J17" s="261"/>
    </row>
    <row r="18" spans="1:10" x14ac:dyDescent="0.2">
      <c r="A18" s="8">
        <v>17</v>
      </c>
      <c r="B18" s="9" t="s">
        <v>207</v>
      </c>
      <c r="C18" s="17" t="s">
        <v>104</v>
      </c>
      <c r="D18" s="64">
        <v>45972</v>
      </c>
      <c r="E18" s="39">
        <v>2</v>
      </c>
      <c r="F18" s="304"/>
      <c r="I18" s="261"/>
      <c r="J18" s="261"/>
    </row>
    <row r="19" spans="1:10" x14ac:dyDescent="0.2">
      <c r="A19" s="8">
        <v>18</v>
      </c>
      <c r="B19" s="91" t="s">
        <v>221</v>
      </c>
      <c r="C19" s="53" t="s">
        <v>107</v>
      </c>
      <c r="D19" s="54">
        <v>45972</v>
      </c>
      <c r="E19" s="17">
        <v>1</v>
      </c>
      <c r="F19" s="304"/>
      <c r="I19" s="261"/>
      <c r="J19" s="261"/>
    </row>
    <row r="20" spans="1:10" x14ac:dyDescent="0.2">
      <c r="A20" s="48">
        <v>19</v>
      </c>
      <c r="B20" s="46" t="s">
        <v>237</v>
      </c>
      <c r="C20" s="39" t="s">
        <v>107</v>
      </c>
      <c r="D20" s="64">
        <v>45973</v>
      </c>
      <c r="E20" s="39">
        <v>1</v>
      </c>
      <c r="F20" s="304"/>
      <c r="I20" s="261"/>
      <c r="J20" s="261"/>
    </row>
    <row r="21" spans="1:10" x14ac:dyDescent="0.2">
      <c r="A21" s="8">
        <v>20</v>
      </c>
      <c r="B21" s="24" t="s">
        <v>237</v>
      </c>
      <c r="C21" s="39" t="s">
        <v>107</v>
      </c>
      <c r="D21" s="50">
        <v>45974</v>
      </c>
      <c r="E21" s="39">
        <v>1</v>
      </c>
      <c r="F21" s="304"/>
      <c r="I21" s="261"/>
      <c r="J21" s="261"/>
    </row>
    <row r="22" spans="1:10" x14ac:dyDescent="0.2">
      <c r="A22" s="8">
        <v>21</v>
      </c>
      <c r="B22" s="9" t="s">
        <v>207</v>
      </c>
      <c r="C22" s="17" t="s">
        <v>104</v>
      </c>
      <c r="D22" s="64">
        <v>45979</v>
      </c>
      <c r="E22" s="39">
        <v>2</v>
      </c>
      <c r="F22" s="304"/>
    </row>
    <row r="23" spans="1:10" x14ac:dyDescent="0.2">
      <c r="A23" s="8">
        <v>22</v>
      </c>
      <c r="B23" s="9" t="s">
        <v>221</v>
      </c>
      <c r="C23" s="39" t="s">
        <v>265</v>
      </c>
      <c r="D23" s="64">
        <v>45980</v>
      </c>
      <c r="E23" s="39">
        <v>1</v>
      </c>
      <c r="F23" s="304"/>
    </row>
    <row r="24" spans="1:10" x14ac:dyDescent="0.2">
      <c r="A24" s="8">
        <v>23</v>
      </c>
      <c r="B24" s="9" t="s">
        <v>207</v>
      </c>
      <c r="C24" s="17" t="s">
        <v>104</v>
      </c>
      <c r="D24" s="64">
        <v>45986</v>
      </c>
      <c r="E24" s="39">
        <v>2</v>
      </c>
      <c r="F24" s="304"/>
    </row>
    <row r="25" spans="1:10" x14ac:dyDescent="0.2">
      <c r="A25" s="8">
        <v>24</v>
      </c>
      <c r="B25" s="9" t="s">
        <v>203</v>
      </c>
      <c r="C25" s="39" t="s">
        <v>104</v>
      </c>
      <c r="D25" s="87">
        <v>45983</v>
      </c>
      <c r="E25" s="45">
        <v>3</v>
      </c>
      <c r="F25" s="304"/>
    </row>
    <row r="26" spans="1:10" x14ac:dyDescent="0.2">
      <c r="A26" s="8">
        <v>25</v>
      </c>
      <c r="B26" s="9" t="s">
        <v>206</v>
      </c>
      <c r="C26" s="39" t="s">
        <v>104</v>
      </c>
      <c r="D26" s="68">
        <v>45991</v>
      </c>
      <c r="E26" s="45">
        <v>3</v>
      </c>
      <c r="F26" s="304"/>
    </row>
    <row r="27" spans="1:10" x14ac:dyDescent="0.2">
      <c r="A27" s="8">
        <v>26</v>
      </c>
      <c r="B27" s="9" t="s">
        <v>207</v>
      </c>
      <c r="C27" s="17" t="s">
        <v>104</v>
      </c>
      <c r="D27" s="64">
        <v>45993</v>
      </c>
      <c r="E27" s="39">
        <v>2</v>
      </c>
      <c r="F27" s="304"/>
    </row>
    <row r="28" spans="1:10" x14ac:dyDescent="0.2">
      <c r="A28" s="8">
        <v>27</v>
      </c>
      <c r="B28" s="9" t="s">
        <v>353</v>
      </c>
      <c r="C28" s="100" t="s">
        <v>352</v>
      </c>
      <c r="D28" s="64">
        <v>45994</v>
      </c>
      <c r="E28" s="39">
        <v>1</v>
      </c>
      <c r="F28" s="304"/>
    </row>
    <row r="29" spans="1:10" x14ac:dyDescent="0.2">
      <c r="A29" s="8">
        <v>28</v>
      </c>
      <c r="B29" s="9" t="s">
        <v>207</v>
      </c>
      <c r="C29" s="17" t="s">
        <v>107</v>
      </c>
      <c r="D29" s="64">
        <v>46000</v>
      </c>
      <c r="E29" s="39">
        <v>1</v>
      </c>
      <c r="F29" s="304"/>
    </row>
    <row r="30" spans="1:10" x14ac:dyDescent="0.2">
      <c r="A30" s="8">
        <v>29</v>
      </c>
      <c r="B30" s="9" t="s">
        <v>333</v>
      </c>
      <c r="C30" s="39" t="s">
        <v>332</v>
      </c>
      <c r="D30" s="51">
        <v>46000</v>
      </c>
      <c r="E30" s="39">
        <v>2</v>
      </c>
      <c r="F30" s="304"/>
    </row>
    <row r="31" spans="1:10" x14ac:dyDescent="0.2">
      <c r="A31" s="8">
        <v>30</v>
      </c>
      <c r="B31" s="66" t="s">
        <v>70</v>
      </c>
      <c r="C31" s="39" t="s">
        <v>107</v>
      </c>
      <c r="D31" s="64">
        <v>46001</v>
      </c>
      <c r="E31" s="39">
        <v>2</v>
      </c>
      <c r="F31" s="304"/>
    </row>
    <row r="32" spans="1:10" x14ac:dyDescent="0.2">
      <c r="A32" s="8">
        <v>31</v>
      </c>
      <c r="B32" s="9" t="s">
        <v>207</v>
      </c>
      <c r="C32" s="17" t="s">
        <v>385</v>
      </c>
      <c r="D32" s="64">
        <v>46014</v>
      </c>
      <c r="E32" s="39">
        <v>2</v>
      </c>
      <c r="F32" s="304"/>
    </row>
    <row r="33" spans="1:6" x14ac:dyDescent="0.2">
      <c r="A33" s="8">
        <v>32</v>
      </c>
      <c r="B33" s="9" t="s">
        <v>270</v>
      </c>
      <c r="C33" s="9" t="s">
        <v>382</v>
      </c>
      <c r="D33" s="64">
        <v>46015</v>
      </c>
      <c r="E33" s="39">
        <v>1</v>
      </c>
      <c r="F33" s="304"/>
    </row>
    <row r="34" spans="1:6" x14ac:dyDescent="0.2">
      <c r="A34" s="8">
        <v>33</v>
      </c>
      <c r="B34" s="9" t="s">
        <v>347</v>
      </c>
      <c r="C34" s="9" t="s">
        <v>383</v>
      </c>
      <c r="D34" s="64">
        <v>46015</v>
      </c>
      <c r="E34" s="39">
        <v>1</v>
      </c>
      <c r="F34" s="304"/>
    </row>
    <row r="35" spans="1:6" x14ac:dyDescent="0.2">
      <c r="A35" s="8">
        <v>34</v>
      </c>
      <c r="B35" s="46" t="s">
        <v>356</v>
      </c>
      <c r="C35" s="207" t="s">
        <v>332</v>
      </c>
      <c r="D35" s="204">
        <v>46020</v>
      </c>
      <c r="E35" s="102">
        <v>2</v>
      </c>
      <c r="F35" s="304"/>
    </row>
    <row r="36" spans="1:6" x14ac:dyDescent="0.2">
      <c r="A36" s="48">
        <v>35</v>
      </c>
      <c r="B36" s="9" t="s">
        <v>402</v>
      </c>
      <c r="C36" s="17" t="s">
        <v>380</v>
      </c>
      <c r="D36" s="51">
        <v>46028</v>
      </c>
      <c r="E36" s="39">
        <v>1</v>
      </c>
      <c r="F36" s="304"/>
    </row>
    <row r="37" spans="1:6" x14ac:dyDescent="0.2">
      <c r="A37" s="48">
        <v>36</v>
      </c>
      <c r="B37" s="9" t="s">
        <v>347</v>
      </c>
      <c r="C37" s="39" t="s">
        <v>397</v>
      </c>
      <c r="D37" s="51">
        <v>46028</v>
      </c>
      <c r="E37" s="17">
        <v>1</v>
      </c>
      <c r="F37" s="304"/>
    </row>
    <row r="38" spans="1:6" x14ac:dyDescent="0.2">
      <c r="A38" s="48">
        <v>37</v>
      </c>
      <c r="B38" s="9" t="s">
        <v>339</v>
      </c>
      <c r="C38" s="39" t="s">
        <v>399</v>
      </c>
      <c r="D38" s="51">
        <v>46028</v>
      </c>
      <c r="E38" s="39">
        <v>1</v>
      </c>
      <c r="F38" s="304"/>
    </row>
    <row r="39" spans="1:6" x14ac:dyDescent="0.2">
      <c r="A39" s="48">
        <v>38</v>
      </c>
      <c r="B39" s="46" t="s">
        <v>381</v>
      </c>
      <c r="C39" s="39" t="s">
        <v>380</v>
      </c>
      <c r="D39" s="51">
        <v>46031</v>
      </c>
      <c r="E39" s="39">
        <v>2</v>
      </c>
      <c r="F39" s="304"/>
    </row>
    <row r="40" spans="1:6" x14ac:dyDescent="0.2">
      <c r="A40" s="48">
        <v>39</v>
      </c>
      <c r="B40" s="46" t="s">
        <v>408</v>
      </c>
      <c r="C40" s="39" t="s">
        <v>397</v>
      </c>
      <c r="D40" s="64">
        <v>46034</v>
      </c>
      <c r="E40" s="17">
        <v>2</v>
      </c>
      <c r="F40" s="304"/>
    </row>
    <row r="41" spans="1:6" x14ac:dyDescent="0.2">
      <c r="A41" s="48">
        <v>40</v>
      </c>
      <c r="B41" s="46" t="s">
        <v>409</v>
      </c>
      <c r="C41" s="39" t="s">
        <v>399</v>
      </c>
      <c r="D41" s="64">
        <v>46034</v>
      </c>
      <c r="E41" s="17">
        <v>1</v>
      </c>
      <c r="F41" s="304"/>
    </row>
    <row r="42" spans="1:6" x14ac:dyDescent="0.2">
      <c r="A42" s="48">
        <v>41</v>
      </c>
      <c r="B42" s="46" t="s">
        <v>379</v>
      </c>
      <c r="C42" s="39" t="s">
        <v>380</v>
      </c>
      <c r="D42" s="50">
        <v>46035</v>
      </c>
      <c r="E42" s="39">
        <v>2</v>
      </c>
      <c r="F42" s="304"/>
    </row>
    <row r="43" spans="1:6" x14ac:dyDescent="0.2">
      <c r="A43" s="48">
        <v>42</v>
      </c>
      <c r="B43" s="9" t="s">
        <v>420</v>
      </c>
      <c r="C43" s="39" t="s">
        <v>380</v>
      </c>
      <c r="D43" s="64">
        <v>46036</v>
      </c>
      <c r="E43" s="39">
        <v>1</v>
      </c>
      <c r="F43" s="304"/>
    </row>
    <row r="44" spans="1:6" x14ac:dyDescent="0.2">
      <c r="A44" s="48">
        <v>43</v>
      </c>
      <c r="B44" s="46" t="s">
        <v>356</v>
      </c>
      <c r="C44" s="240" t="s">
        <v>332</v>
      </c>
      <c r="D44" s="64">
        <v>46037</v>
      </c>
      <c r="E44" s="39">
        <v>2</v>
      </c>
      <c r="F44" s="304"/>
    </row>
    <row r="45" spans="1:6" x14ac:dyDescent="0.2">
      <c r="A45" s="48">
        <v>44</v>
      </c>
      <c r="B45" s="46" t="s">
        <v>401</v>
      </c>
      <c r="C45" s="241" t="s">
        <v>399</v>
      </c>
      <c r="D45" s="64">
        <v>46038</v>
      </c>
      <c r="E45" s="17">
        <v>1</v>
      </c>
      <c r="F45" s="304"/>
    </row>
    <row r="46" spans="1:6" x14ac:dyDescent="0.2">
      <c r="A46" s="48">
        <v>45</v>
      </c>
      <c r="B46" s="9" t="s">
        <v>414</v>
      </c>
      <c r="C46" s="9" t="s">
        <v>399</v>
      </c>
      <c r="D46" s="68">
        <v>46039</v>
      </c>
      <c r="E46" s="45">
        <v>2</v>
      </c>
      <c r="F46" s="304"/>
    </row>
    <row r="47" spans="1:6" x14ac:dyDescent="0.2">
      <c r="A47" s="48">
        <v>46</v>
      </c>
      <c r="B47" s="9" t="s">
        <v>415</v>
      </c>
      <c r="C47" s="9" t="s">
        <v>399</v>
      </c>
      <c r="D47" s="68">
        <v>46040</v>
      </c>
      <c r="E47" s="45">
        <v>2</v>
      </c>
      <c r="F47" s="304"/>
    </row>
    <row r="48" spans="1:6" x14ac:dyDescent="0.2">
      <c r="A48" s="8">
        <v>47</v>
      </c>
      <c r="B48" s="9" t="s">
        <v>458</v>
      </c>
      <c r="C48" s="39" t="s">
        <v>459</v>
      </c>
      <c r="D48" s="64">
        <v>46043</v>
      </c>
      <c r="E48" s="17">
        <v>2</v>
      </c>
      <c r="F48" s="304"/>
    </row>
    <row r="49" spans="1:6" x14ac:dyDescent="0.2">
      <c r="A49" s="8">
        <v>48</v>
      </c>
      <c r="B49" s="9" t="s">
        <v>125</v>
      </c>
      <c r="C49" s="39" t="s">
        <v>457</v>
      </c>
      <c r="D49" s="64">
        <v>46044</v>
      </c>
      <c r="E49" s="17">
        <v>1</v>
      </c>
      <c r="F49" s="304"/>
    </row>
    <row r="50" spans="1:6" x14ac:dyDescent="0.2">
      <c r="A50" s="8">
        <v>49</v>
      </c>
      <c r="B50" s="9" t="s">
        <v>469</v>
      </c>
      <c r="C50" s="39" t="s">
        <v>468</v>
      </c>
      <c r="D50" s="64">
        <v>46050</v>
      </c>
      <c r="E50" s="17">
        <v>1</v>
      </c>
      <c r="F50" s="304"/>
    </row>
    <row r="51" spans="1:6" x14ac:dyDescent="0.2">
      <c r="A51" s="8">
        <v>50</v>
      </c>
      <c r="B51" s="9" t="s">
        <v>516</v>
      </c>
      <c r="C51" s="39" t="s">
        <v>517</v>
      </c>
      <c r="D51" s="64">
        <v>46071</v>
      </c>
      <c r="E51" s="39">
        <v>1</v>
      </c>
      <c r="F51" s="304"/>
    </row>
    <row r="52" spans="1:6" x14ac:dyDescent="0.2">
      <c r="A52" s="8">
        <v>51</v>
      </c>
      <c r="B52" s="66" t="s">
        <v>70</v>
      </c>
      <c r="C52" s="17" t="s">
        <v>518</v>
      </c>
      <c r="D52" s="64">
        <v>46071</v>
      </c>
      <c r="E52" s="39">
        <v>1</v>
      </c>
      <c r="F52" s="304"/>
    </row>
    <row r="53" spans="1:6" x14ac:dyDescent="0.2">
      <c r="A53" s="8">
        <v>52</v>
      </c>
      <c r="B53" s="9" t="s">
        <v>522</v>
      </c>
      <c r="C53" s="39" t="s">
        <v>449</v>
      </c>
      <c r="D53" s="64">
        <v>46072</v>
      </c>
      <c r="E53" s="39">
        <v>1</v>
      </c>
      <c r="F53" s="304"/>
    </row>
    <row r="54" spans="1:6" x14ac:dyDescent="0.2">
      <c r="A54" s="8">
        <v>53</v>
      </c>
      <c r="B54" s="9" t="s">
        <v>531</v>
      </c>
      <c r="C54" s="17" t="s">
        <v>332</v>
      </c>
      <c r="D54" s="9"/>
      <c r="E54" s="39">
        <v>1</v>
      </c>
      <c r="F54" s="304"/>
    </row>
    <row r="55" spans="1:6" x14ac:dyDescent="0.2">
      <c r="A55" s="48">
        <v>54</v>
      </c>
      <c r="B55" s="9" t="s">
        <v>519</v>
      </c>
      <c r="C55" s="39" t="s">
        <v>520</v>
      </c>
      <c r="D55" s="64">
        <v>46073</v>
      </c>
      <c r="E55" s="39">
        <v>2</v>
      </c>
      <c r="F55" s="304"/>
    </row>
    <row r="56" spans="1:6" x14ac:dyDescent="0.2">
      <c r="A56" s="8">
        <v>55</v>
      </c>
      <c r="B56" s="9" t="s">
        <v>522</v>
      </c>
      <c r="C56" s="39" t="s">
        <v>523</v>
      </c>
      <c r="D56" s="64">
        <v>46077</v>
      </c>
      <c r="E56" s="39">
        <v>1</v>
      </c>
      <c r="F56" s="304"/>
    </row>
    <row r="57" spans="1:6" x14ac:dyDescent="0.2">
      <c r="A57" s="8">
        <v>56</v>
      </c>
      <c r="B57" s="9" t="s">
        <v>132</v>
      </c>
      <c r="C57" s="39" t="s">
        <v>521</v>
      </c>
      <c r="D57" s="64">
        <v>46078</v>
      </c>
      <c r="E57" s="39">
        <v>1</v>
      </c>
      <c r="F57" s="304"/>
    </row>
    <row r="58" spans="1:6" x14ac:dyDescent="0.2">
      <c r="A58" s="8">
        <v>57</v>
      </c>
      <c r="B58" s="9" t="s">
        <v>524</v>
      </c>
      <c r="C58" s="39" t="s">
        <v>126</v>
      </c>
      <c r="D58" s="64">
        <v>46078</v>
      </c>
      <c r="E58" s="39">
        <v>3</v>
      </c>
      <c r="F58" s="304"/>
    </row>
    <row r="59" spans="1:6" x14ac:dyDescent="0.2">
      <c r="A59" s="8">
        <v>58</v>
      </c>
      <c r="B59" s="9" t="s">
        <v>522</v>
      </c>
      <c r="C59" s="39" t="s">
        <v>523</v>
      </c>
      <c r="D59" s="64">
        <v>46083</v>
      </c>
      <c r="E59" s="39">
        <v>1</v>
      </c>
      <c r="F59" s="304"/>
    </row>
    <row r="60" spans="1:6" x14ac:dyDescent="0.2">
      <c r="A60" s="8">
        <v>59</v>
      </c>
      <c r="B60" s="9" t="s">
        <v>132</v>
      </c>
      <c r="C60" s="39" t="s">
        <v>526</v>
      </c>
      <c r="D60" s="64">
        <v>46087</v>
      </c>
      <c r="E60" s="39">
        <v>2</v>
      </c>
      <c r="F60" s="304"/>
    </row>
    <row r="61" spans="1:6" x14ac:dyDescent="0.2">
      <c r="A61" s="8">
        <v>60</v>
      </c>
      <c r="B61" s="7" t="s">
        <v>547</v>
      </c>
      <c r="C61" s="39" t="s">
        <v>107</v>
      </c>
      <c r="D61" s="68">
        <v>46103</v>
      </c>
      <c r="E61" s="106">
        <v>2</v>
      </c>
      <c r="F61" s="304"/>
    </row>
    <row r="62" spans="1:6" x14ac:dyDescent="0.2">
      <c r="A62" s="8">
        <v>61</v>
      </c>
      <c r="B62" s="46" t="s">
        <v>545</v>
      </c>
      <c r="C62" s="39" t="s">
        <v>546</v>
      </c>
      <c r="D62" s="64">
        <v>46105</v>
      </c>
      <c r="E62" s="17">
        <v>1</v>
      </c>
      <c r="F62" s="304"/>
    </row>
    <row r="63" spans="1:6" x14ac:dyDescent="0.2">
      <c r="A63" s="48">
        <v>62</v>
      </c>
      <c r="B63" s="9" t="s">
        <v>522</v>
      </c>
      <c r="C63" s="39" t="s">
        <v>548</v>
      </c>
      <c r="D63" s="64">
        <v>46105</v>
      </c>
      <c r="E63" s="17">
        <v>1</v>
      </c>
      <c r="F63" s="304"/>
    </row>
    <row r="64" spans="1:6" x14ac:dyDescent="0.2">
      <c r="A64" s="8">
        <v>63</v>
      </c>
      <c r="B64" s="9" t="s">
        <v>586</v>
      </c>
      <c r="C64" s="39" t="s">
        <v>107</v>
      </c>
      <c r="D64" s="64">
        <v>46105</v>
      </c>
      <c r="E64" s="17">
        <v>1</v>
      </c>
      <c r="F64" s="304"/>
    </row>
    <row r="65" spans="1:6" x14ac:dyDescent="0.2">
      <c r="A65" s="8">
        <v>64</v>
      </c>
      <c r="B65" s="79" t="s">
        <v>549</v>
      </c>
      <c r="C65" s="39" t="s">
        <v>550</v>
      </c>
      <c r="D65" s="64">
        <v>46106</v>
      </c>
      <c r="E65" s="17">
        <v>2</v>
      </c>
      <c r="F65" s="304"/>
    </row>
    <row r="66" spans="1:6" x14ac:dyDescent="0.2">
      <c r="A66" s="48">
        <v>65</v>
      </c>
      <c r="B66" s="9" t="s">
        <v>398</v>
      </c>
      <c r="C66" s="17">
        <v>1030</v>
      </c>
      <c r="D66" s="64">
        <v>46112</v>
      </c>
      <c r="E66" s="17">
        <v>1</v>
      </c>
      <c r="F66" s="304"/>
    </row>
    <row r="67" spans="1:6" x14ac:dyDescent="0.2">
      <c r="A67" s="8">
        <v>66</v>
      </c>
      <c r="B67" s="9" t="s">
        <v>551</v>
      </c>
      <c r="C67" s="17" t="s">
        <v>552</v>
      </c>
      <c r="D67" s="64">
        <v>46112</v>
      </c>
      <c r="E67" s="17">
        <v>1</v>
      </c>
      <c r="F67" s="304"/>
    </row>
    <row r="68" spans="1:6" x14ac:dyDescent="0.2">
      <c r="A68" s="8">
        <v>67</v>
      </c>
      <c r="B68" s="79" t="s">
        <v>557</v>
      </c>
      <c r="C68" s="17" t="s">
        <v>462</v>
      </c>
      <c r="D68" s="64">
        <v>46114</v>
      </c>
      <c r="E68" s="17">
        <v>4</v>
      </c>
      <c r="F68" s="304"/>
    </row>
    <row r="69" spans="1:6" x14ac:dyDescent="0.2">
      <c r="A69" s="8">
        <v>68</v>
      </c>
      <c r="B69" s="9" t="s">
        <v>516</v>
      </c>
      <c r="C69" s="39" t="s">
        <v>576</v>
      </c>
      <c r="D69" s="64">
        <v>46121</v>
      </c>
      <c r="E69" s="39">
        <v>1</v>
      </c>
      <c r="F69" s="304"/>
    </row>
    <row r="70" spans="1:6" x14ac:dyDescent="0.2">
      <c r="A70" s="8">
        <v>69</v>
      </c>
      <c r="B70" s="9" t="s">
        <v>541</v>
      </c>
      <c r="C70" s="39" t="s">
        <v>542</v>
      </c>
      <c r="D70" s="68">
        <v>46123</v>
      </c>
      <c r="E70" s="45">
        <v>3</v>
      </c>
      <c r="F70" s="304"/>
    </row>
    <row r="71" spans="1:6" x14ac:dyDescent="0.2">
      <c r="A71" s="8">
        <v>70</v>
      </c>
      <c r="B71" s="9" t="s">
        <v>522</v>
      </c>
      <c r="C71" s="39" t="s">
        <v>578</v>
      </c>
      <c r="D71" s="64">
        <v>46125</v>
      </c>
      <c r="E71" s="39">
        <v>1</v>
      </c>
      <c r="F71" s="304"/>
    </row>
    <row r="72" spans="1:6" x14ac:dyDescent="0.2">
      <c r="A72" s="8">
        <v>71</v>
      </c>
      <c r="B72" s="9" t="s">
        <v>587</v>
      </c>
      <c r="C72" s="39" t="s">
        <v>107</v>
      </c>
      <c r="D72" s="64">
        <v>46125</v>
      </c>
      <c r="E72" s="39">
        <v>1</v>
      </c>
      <c r="F72" s="304"/>
    </row>
    <row r="73" spans="1:6" x14ac:dyDescent="0.2">
      <c r="A73" s="8">
        <v>72</v>
      </c>
      <c r="B73" s="9" t="s">
        <v>583</v>
      </c>
      <c r="C73" s="17" t="s">
        <v>584</v>
      </c>
      <c r="D73" s="64">
        <v>46126</v>
      </c>
      <c r="E73" s="39">
        <v>1</v>
      </c>
      <c r="F73" s="304"/>
    </row>
    <row r="74" spans="1:6" x14ac:dyDescent="0.2">
      <c r="A74" s="48">
        <v>73</v>
      </c>
      <c r="B74" s="9" t="s">
        <v>412</v>
      </c>
      <c r="C74" s="17" t="s">
        <v>585</v>
      </c>
      <c r="D74" s="68">
        <v>46128</v>
      </c>
      <c r="E74" s="45">
        <v>2</v>
      </c>
      <c r="F74" s="304"/>
    </row>
    <row r="75" spans="1:6" x14ac:dyDescent="0.2">
      <c r="A75" s="8">
        <v>74</v>
      </c>
      <c r="B75" s="9" t="s">
        <v>589</v>
      </c>
      <c r="C75" s="39" t="s">
        <v>568</v>
      </c>
      <c r="D75" s="123">
        <v>46128</v>
      </c>
      <c r="E75" s="39">
        <v>1</v>
      </c>
      <c r="F75" s="304"/>
    </row>
    <row r="76" spans="1:6" x14ac:dyDescent="0.2">
      <c r="A76" s="8">
        <v>75</v>
      </c>
      <c r="B76" s="9" t="s">
        <v>516</v>
      </c>
      <c r="C76" s="39" t="s">
        <v>596</v>
      </c>
      <c r="D76" s="123">
        <v>46128</v>
      </c>
      <c r="E76" s="39">
        <v>1</v>
      </c>
      <c r="F76" s="304"/>
    </row>
    <row r="77" spans="1:6" x14ac:dyDescent="0.2">
      <c r="A77" s="8">
        <v>76</v>
      </c>
      <c r="B77" s="9" t="s">
        <v>539</v>
      </c>
      <c r="C77" s="17" t="s">
        <v>599</v>
      </c>
      <c r="D77" s="68">
        <v>46131</v>
      </c>
      <c r="E77" s="45">
        <v>2</v>
      </c>
      <c r="F77" s="304"/>
    </row>
    <row r="78" spans="1:6" x14ac:dyDescent="0.2">
      <c r="A78" s="8">
        <v>77</v>
      </c>
      <c r="B78" s="9" t="s">
        <v>587</v>
      </c>
      <c r="C78" s="17" t="s">
        <v>597</v>
      </c>
      <c r="D78" s="68">
        <v>46131</v>
      </c>
      <c r="E78" s="45">
        <v>2</v>
      </c>
      <c r="F78" s="304"/>
    </row>
    <row r="79" spans="1:6" x14ac:dyDescent="0.2">
      <c r="A79" s="48">
        <v>78</v>
      </c>
      <c r="B79" s="9" t="s">
        <v>522</v>
      </c>
      <c r="C79" s="17" t="s">
        <v>604</v>
      </c>
      <c r="D79" s="68">
        <v>46132</v>
      </c>
      <c r="E79" s="45">
        <v>1</v>
      </c>
      <c r="F79" s="304"/>
    </row>
    <row r="80" spans="1:6" x14ac:dyDescent="0.2">
      <c r="A80" s="8">
        <v>79</v>
      </c>
      <c r="B80" s="46" t="s">
        <v>566</v>
      </c>
      <c r="C80" s="39">
        <v>1600</v>
      </c>
      <c r="D80" s="64">
        <v>46134</v>
      </c>
      <c r="E80" s="39">
        <v>1</v>
      </c>
      <c r="F80" s="304"/>
    </row>
    <row r="81" spans="1:6" x14ac:dyDescent="0.2">
      <c r="A81" s="8">
        <v>80</v>
      </c>
      <c r="B81" s="9" t="s">
        <v>593</v>
      </c>
      <c r="C81" s="112" t="s">
        <v>542</v>
      </c>
      <c r="D81" s="262">
        <v>46137</v>
      </c>
      <c r="E81" s="45">
        <v>3</v>
      </c>
      <c r="F81" s="304"/>
    </row>
    <row r="82" spans="1:6" x14ac:dyDescent="0.2">
      <c r="A82" s="8">
        <v>81</v>
      </c>
      <c r="B82" s="9" t="s">
        <v>522</v>
      </c>
      <c r="C82" s="112" t="s">
        <v>596</v>
      </c>
      <c r="D82" s="123">
        <v>46139</v>
      </c>
      <c r="E82" s="39">
        <v>1</v>
      </c>
      <c r="F82" s="304"/>
    </row>
    <row r="83" spans="1:6" x14ac:dyDescent="0.2">
      <c r="A83" s="8">
        <v>82</v>
      </c>
      <c r="B83" s="79" t="s">
        <v>557</v>
      </c>
      <c r="C83" s="112" t="s">
        <v>462</v>
      </c>
      <c r="D83" s="123">
        <v>46142</v>
      </c>
      <c r="E83" s="39">
        <v>4</v>
      </c>
      <c r="F83" s="304"/>
    </row>
    <row r="84" spans="1:6" x14ac:dyDescent="0.2">
      <c r="A84" s="8">
        <v>83</v>
      </c>
      <c r="B84" s="9" t="s">
        <v>522</v>
      </c>
      <c r="C84" s="112" t="s">
        <v>623</v>
      </c>
      <c r="D84" s="123">
        <v>46146</v>
      </c>
      <c r="E84" s="39">
        <v>1</v>
      </c>
      <c r="F84" s="304"/>
    </row>
    <row r="85" spans="1:6" x14ac:dyDescent="0.2">
      <c r="A85" s="8">
        <v>84</v>
      </c>
      <c r="B85" s="79" t="s">
        <v>573</v>
      </c>
      <c r="C85" s="17" t="s">
        <v>462</v>
      </c>
      <c r="D85" s="64">
        <v>46150</v>
      </c>
      <c r="E85" s="39">
        <v>4</v>
      </c>
      <c r="F85" s="304"/>
    </row>
    <row r="86" spans="1:6" x14ac:dyDescent="0.2">
      <c r="A86" s="48">
        <v>85</v>
      </c>
      <c r="B86" s="9" t="s">
        <v>522</v>
      </c>
      <c r="C86" s="39" t="s">
        <v>635</v>
      </c>
      <c r="D86" s="123">
        <v>46153</v>
      </c>
      <c r="E86" s="39">
        <v>1</v>
      </c>
      <c r="F86" s="304"/>
    </row>
    <row r="87" spans="1:6" x14ac:dyDescent="0.2">
      <c r="A87" s="8">
        <v>86</v>
      </c>
      <c r="B87" s="9" t="s">
        <v>270</v>
      </c>
      <c r="C87" s="17" t="s">
        <v>625</v>
      </c>
      <c r="D87" s="64">
        <v>46155</v>
      </c>
      <c r="E87" s="39">
        <v>1</v>
      </c>
      <c r="F87" s="304"/>
    </row>
    <row r="88" spans="1:6" x14ac:dyDescent="0.2">
      <c r="A88" s="8"/>
      <c r="B88" s="9"/>
      <c r="C88" s="17"/>
      <c r="D88" s="64"/>
      <c r="E88" s="39"/>
      <c r="F88" s="304"/>
    </row>
    <row r="89" spans="1:6" x14ac:dyDescent="0.2">
      <c r="A89" s="8"/>
      <c r="B89" s="9"/>
      <c r="C89" s="17"/>
      <c r="D89" s="64"/>
      <c r="E89" s="39"/>
      <c r="F89" s="304"/>
    </row>
    <row r="90" spans="1:6" x14ac:dyDescent="0.2">
      <c r="A90" s="8"/>
      <c r="B90" s="9" t="s">
        <v>322</v>
      </c>
      <c r="C90" s="17" t="s">
        <v>606</v>
      </c>
      <c r="D90" s="64">
        <v>46174</v>
      </c>
      <c r="E90" s="39">
        <v>1</v>
      </c>
      <c r="F90" s="304"/>
    </row>
    <row r="91" spans="1:6" x14ac:dyDescent="0.2">
      <c r="A91" s="8"/>
      <c r="B91" s="9" t="s">
        <v>653</v>
      </c>
      <c r="C91" s="17" t="s">
        <v>654</v>
      </c>
      <c r="D91" s="64">
        <v>46174</v>
      </c>
      <c r="E91" s="39">
        <v>1</v>
      </c>
      <c r="F91" s="304"/>
    </row>
    <row r="92" spans="1:6" x14ac:dyDescent="0.2">
      <c r="A92" s="8">
        <v>87</v>
      </c>
      <c r="B92" s="9" t="s">
        <v>402</v>
      </c>
      <c r="C92" s="17" t="s">
        <v>622</v>
      </c>
      <c r="D92" s="64">
        <v>46174</v>
      </c>
      <c r="E92" s="39">
        <v>1</v>
      </c>
      <c r="F92" s="304"/>
    </row>
    <row r="93" spans="1:6" x14ac:dyDescent="0.2">
      <c r="A93" s="8">
        <v>88</v>
      </c>
      <c r="B93" s="9" t="s">
        <v>354</v>
      </c>
      <c r="C93" s="17" t="s">
        <v>654</v>
      </c>
      <c r="D93" s="64">
        <v>46175</v>
      </c>
      <c r="E93" s="39">
        <v>1</v>
      </c>
      <c r="F93" s="304"/>
    </row>
    <row r="94" spans="1:6" x14ac:dyDescent="0.2">
      <c r="A94" s="8"/>
      <c r="B94" s="9" t="s">
        <v>339</v>
      </c>
      <c r="C94" s="17" t="s">
        <v>654</v>
      </c>
      <c r="D94" s="64">
        <v>46177</v>
      </c>
      <c r="E94" s="211">
        <v>1</v>
      </c>
      <c r="F94" s="304"/>
    </row>
    <row r="95" spans="1:6" x14ac:dyDescent="0.2">
      <c r="A95" s="8"/>
      <c r="B95" s="28" t="s">
        <v>620</v>
      </c>
      <c r="C95" s="17" t="s">
        <v>606</v>
      </c>
      <c r="D95" s="64">
        <v>46178</v>
      </c>
      <c r="E95" s="39">
        <v>2</v>
      </c>
      <c r="F95" s="304"/>
    </row>
    <row r="96" spans="1:6" x14ac:dyDescent="0.2">
      <c r="A96" s="8"/>
      <c r="B96" s="9" t="s">
        <v>311</v>
      </c>
      <c r="C96" s="17" t="s">
        <v>606</v>
      </c>
      <c r="D96" s="68">
        <v>46180</v>
      </c>
      <c r="E96" s="45">
        <v>2</v>
      </c>
      <c r="F96" s="304"/>
    </row>
    <row r="97" spans="1:6" x14ac:dyDescent="0.2">
      <c r="A97" s="8">
        <v>90</v>
      </c>
      <c r="B97" s="28" t="s">
        <v>619</v>
      </c>
      <c r="C97" s="17" t="s">
        <v>606</v>
      </c>
      <c r="D97" s="64">
        <v>46183</v>
      </c>
      <c r="E97" s="211">
        <v>2</v>
      </c>
      <c r="F97" s="304"/>
    </row>
    <row r="98" spans="1:6" x14ac:dyDescent="0.2">
      <c r="A98" s="8">
        <v>91</v>
      </c>
      <c r="B98" s="9" t="s">
        <v>354</v>
      </c>
      <c r="C98" s="17" t="s">
        <v>606</v>
      </c>
      <c r="D98" s="64">
        <v>46184</v>
      </c>
      <c r="E98" s="211">
        <v>1</v>
      </c>
      <c r="F98" s="304"/>
    </row>
    <row r="99" spans="1:6" x14ac:dyDescent="0.2">
      <c r="A99" s="48">
        <v>92</v>
      </c>
      <c r="B99" s="9" t="s">
        <v>657</v>
      </c>
      <c r="C99" s="17" t="s">
        <v>606</v>
      </c>
      <c r="D99" s="68">
        <v>46186</v>
      </c>
      <c r="E99" s="45">
        <v>2</v>
      </c>
      <c r="F99" s="304"/>
    </row>
    <row r="100" spans="1:6" x14ac:dyDescent="0.2">
      <c r="A100" s="8">
        <v>93</v>
      </c>
      <c r="B100" s="9" t="s">
        <v>658</v>
      </c>
      <c r="C100" s="17" t="s">
        <v>399</v>
      </c>
      <c r="D100" s="68">
        <v>46186</v>
      </c>
      <c r="E100" s="45">
        <v>2</v>
      </c>
      <c r="F100" s="304"/>
    </row>
    <row r="101" spans="1:6" x14ac:dyDescent="0.2">
      <c r="A101" s="8">
        <v>94</v>
      </c>
      <c r="B101" s="9"/>
      <c r="C101" s="9"/>
      <c r="D101" s="9"/>
      <c r="E101" s="9"/>
      <c r="F101" s="304"/>
    </row>
    <row r="102" spans="1:6" x14ac:dyDescent="0.2">
      <c r="A102" s="8">
        <v>95</v>
      </c>
      <c r="B102" s="9"/>
      <c r="C102" s="9"/>
      <c r="D102" s="9"/>
      <c r="E102" s="9"/>
      <c r="F102" s="304"/>
    </row>
    <row r="103" spans="1:6" x14ac:dyDescent="0.2">
      <c r="A103" s="8">
        <v>96</v>
      </c>
      <c r="B103" s="9"/>
      <c r="C103" s="9"/>
      <c r="D103" s="9"/>
      <c r="E103" s="9"/>
      <c r="F103" s="304"/>
    </row>
    <row r="104" spans="1:6" x14ac:dyDescent="0.2">
      <c r="A104" s="8">
        <v>97</v>
      </c>
      <c r="B104" s="9"/>
      <c r="C104" s="9"/>
      <c r="D104" s="9"/>
      <c r="E104" s="9"/>
      <c r="F104" s="304"/>
    </row>
    <row r="105" spans="1:6" ht="17" thickBot="1" x14ac:dyDescent="0.25"/>
    <row r="106" spans="1:6" ht="29" thickBot="1" x14ac:dyDescent="0.35">
      <c r="A106" s="306" t="s">
        <v>92</v>
      </c>
      <c r="B106" s="307"/>
      <c r="C106" s="307"/>
      <c r="D106" s="307"/>
      <c r="E106" s="163">
        <f>SUM(E2:E104)</f>
        <v>208</v>
      </c>
    </row>
  </sheetData>
  <mergeCells count="4">
    <mergeCell ref="I1:J1"/>
    <mergeCell ref="A106:D106"/>
    <mergeCell ref="F2:F9"/>
    <mergeCell ref="F10:F104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4AFC6-6165-E141-A6FD-644D887D3436}">
  <dimension ref="A1:L97"/>
  <sheetViews>
    <sheetView topLeftCell="A63" zoomScale="150" zoomScaleNormal="100" workbookViewId="0">
      <selection activeCell="F86" sqref="F86"/>
    </sheetView>
  </sheetViews>
  <sheetFormatPr baseColWidth="10" defaultRowHeight="16" x14ac:dyDescent="0.2"/>
  <cols>
    <col min="1" max="1" width="7.33203125" style="7" customWidth="1"/>
    <col min="2" max="2" width="48.33203125" style="7" bestFit="1" customWidth="1"/>
    <col min="3" max="3" width="12.33203125" style="47" customWidth="1"/>
    <col min="4" max="4" width="25.33203125" style="7" customWidth="1"/>
    <col min="5" max="5" width="9.5" style="40" bestFit="1" customWidth="1"/>
    <col min="6" max="8" width="10.83203125" style="7"/>
    <col min="9" max="9" width="12.33203125" style="7" customWidth="1"/>
    <col min="10" max="10" width="46.83203125" style="7" customWidth="1"/>
    <col min="11" max="11" width="10.83203125" style="7"/>
    <col min="12" max="12" width="12.1640625" style="7" customWidth="1"/>
    <col min="13" max="16384" width="10.83203125" style="7"/>
  </cols>
  <sheetData>
    <row r="1" spans="1:12" s="36" customFormat="1" x14ac:dyDescent="0.2">
      <c r="A1" s="8" t="s">
        <v>13</v>
      </c>
      <c r="B1" s="18" t="s">
        <v>14</v>
      </c>
      <c r="C1" s="18" t="s">
        <v>1</v>
      </c>
      <c r="D1" s="18" t="s">
        <v>0</v>
      </c>
      <c r="E1" s="18" t="s">
        <v>15</v>
      </c>
      <c r="I1" s="311" t="s">
        <v>262</v>
      </c>
      <c r="J1" s="312"/>
      <c r="K1" s="312"/>
      <c r="L1" s="313"/>
    </row>
    <row r="2" spans="1:12" x14ac:dyDescent="0.2">
      <c r="A2" s="8">
        <v>1</v>
      </c>
      <c r="B2" s="9" t="s">
        <v>123</v>
      </c>
      <c r="C2" s="17" t="s">
        <v>80</v>
      </c>
      <c r="D2" s="97">
        <v>45944</v>
      </c>
      <c r="E2" s="39">
        <v>4</v>
      </c>
      <c r="I2" s="10" t="s">
        <v>18</v>
      </c>
      <c r="J2" s="8" t="s">
        <v>21</v>
      </c>
      <c r="K2" s="8" t="s">
        <v>22</v>
      </c>
      <c r="L2" s="11" t="s">
        <v>12</v>
      </c>
    </row>
    <row r="3" spans="1:12" x14ac:dyDescent="0.2">
      <c r="A3" s="8">
        <v>2</v>
      </c>
      <c r="B3" s="9" t="s">
        <v>123</v>
      </c>
      <c r="C3" s="17" t="s">
        <v>80</v>
      </c>
      <c r="D3" s="97">
        <v>45946</v>
      </c>
      <c r="E3" s="39">
        <v>4</v>
      </c>
      <c r="I3" s="12" t="s">
        <v>27</v>
      </c>
      <c r="J3" s="9" t="s">
        <v>25</v>
      </c>
      <c r="K3" s="9" t="s">
        <v>26</v>
      </c>
      <c r="L3" s="13" t="s">
        <v>23</v>
      </c>
    </row>
    <row r="4" spans="1:12" x14ac:dyDescent="0.2">
      <c r="A4" s="8">
        <v>3</v>
      </c>
      <c r="B4" s="33" t="s">
        <v>70</v>
      </c>
      <c r="C4" s="17" t="s">
        <v>107</v>
      </c>
      <c r="D4" s="64">
        <v>45952</v>
      </c>
      <c r="E4" s="39">
        <v>2</v>
      </c>
      <c r="I4" s="12" t="s">
        <v>19</v>
      </c>
      <c r="J4" s="9" t="s">
        <v>17</v>
      </c>
      <c r="K4" s="9" t="s">
        <v>20</v>
      </c>
      <c r="L4" s="13" t="s">
        <v>23</v>
      </c>
    </row>
    <row r="5" spans="1:12" ht="17" thickBot="1" x14ac:dyDescent="0.25">
      <c r="A5" s="8">
        <v>4</v>
      </c>
      <c r="B5" s="9" t="s">
        <v>194</v>
      </c>
      <c r="C5" s="17" t="s">
        <v>107</v>
      </c>
      <c r="D5" s="64">
        <v>45964</v>
      </c>
      <c r="E5" s="39">
        <v>1</v>
      </c>
      <c r="I5" s="14" t="s">
        <v>19</v>
      </c>
      <c r="J5" s="15" t="s">
        <v>17</v>
      </c>
      <c r="K5" s="15" t="s">
        <v>20</v>
      </c>
      <c r="L5" s="16" t="s">
        <v>24</v>
      </c>
    </row>
    <row r="6" spans="1:12" x14ac:dyDescent="0.2">
      <c r="A6" s="8">
        <v>5</v>
      </c>
      <c r="B6" s="9" t="s">
        <v>208</v>
      </c>
      <c r="C6" s="17" t="s">
        <v>209</v>
      </c>
      <c r="D6" s="68">
        <v>45971</v>
      </c>
      <c r="E6" s="45">
        <v>2</v>
      </c>
    </row>
    <row r="7" spans="1:12" x14ac:dyDescent="0.2">
      <c r="A7" s="164">
        <v>6</v>
      </c>
      <c r="B7" s="165" t="s">
        <v>222</v>
      </c>
      <c r="C7" s="141" t="s">
        <v>180</v>
      </c>
      <c r="D7" s="139" t="s">
        <v>223</v>
      </c>
      <c r="E7" s="140">
        <v>15</v>
      </c>
    </row>
    <row r="8" spans="1:12" x14ac:dyDescent="0.2">
      <c r="A8" s="8">
        <v>7</v>
      </c>
      <c r="B8" s="46" t="s">
        <v>339</v>
      </c>
      <c r="C8" s="17" t="s">
        <v>107</v>
      </c>
      <c r="D8" s="64">
        <v>45979</v>
      </c>
      <c r="E8" s="39">
        <v>1</v>
      </c>
      <c r="I8" s="7" t="s">
        <v>184</v>
      </c>
      <c r="J8" s="7" t="s">
        <v>434</v>
      </c>
    </row>
    <row r="9" spans="1:12" x14ac:dyDescent="0.2">
      <c r="A9" s="8">
        <v>8</v>
      </c>
      <c r="B9" s="9" t="s">
        <v>203</v>
      </c>
      <c r="C9" s="17" t="s">
        <v>104</v>
      </c>
      <c r="D9" s="87">
        <v>45983</v>
      </c>
      <c r="E9" s="45">
        <v>3</v>
      </c>
      <c r="I9" s="7" t="s">
        <v>184</v>
      </c>
      <c r="J9" s="7" t="s">
        <v>563</v>
      </c>
    </row>
    <row r="10" spans="1:12" x14ac:dyDescent="0.2">
      <c r="A10" s="8">
        <v>9</v>
      </c>
      <c r="B10" s="19" t="s">
        <v>199</v>
      </c>
      <c r="C10" s="17"/>
      <c r="D10" s="64">
        <v>45985</v>
      </c>
      <c r="E10" s="39">
        <v>4</v>
      </c>
    </row>
    <row r="11" spans="1:12" x14ac:dyDescent="0.2">
      <c r="A11" s="48">
        <v>10</v>
      </c>
      <c r="B11" s="9" t="s">
        <v>261</v>
      </c>
      <c r="C11" s="17" t="s">
        <v>104</v>
      </c>
      <c r="D11" s="68">
        <v>45990</v>
      </c>
      <c r="E11" s="45">
        <v>3</v>
      </c>
    </row>
    <row r="12" spans="1:12" x14ac:dyDescent="0.2">
      <c r="A12" s="8">
        <v>11</v>
      </c>
      <c r="B12" s="9" t="s">
        <v>206</v>
      </c>
      <c r="C12" s="17" t="s">
        <v>104</v>
      </c>
      <c r="D12" s="68">
        <v>45991</v>
      </c>
      <c r="E12" s="45">
        <v>3</v>
      </c>
    </row>
    <row r="13" spans="1:12" x14ac:dyDescent="0.2">
      <c r="A13" s="8">
        <v>12</v>
      </c>
      <c r="B13" s="9" t="s">
        <v>271</v>
      </c>
      <c r="C13" s="17" t="s">
        <v>175</v>
      </c>
      <c r="D13" s="64">
        <v>45994</v>
      </c>
      <c r="E13" s="39">
        <v>1</v>
      </c>
    </row>
    <row r="14" spans="1:12" x14ac:dyDescent="0.2">
      <c r="A14" s="8">
        <v>13</v>
      </c>
      <c r="B14" s="66" t="s">
        <v>70</v>
      </c>
      <c r="C14" s="17" t="s">
        <v>107</v>
      </c>
      <c r="D14" s="64">
        <v>46001</v>
      </c>
      <c r="E14" s="39">
        <v>2</v>
      </c>
    </row>
    <row r="15" spans="1:12" x14ac:dyDescent="0.2">
      <c r="A15" s="8">
        <v>14</v>
      </c>
      <c r="B15" s="79" t="s">
        <v>245</v>
      </c>
      <c r="C15" s="17" t="s">
        <v>180</v>
      </c>
      <c r="D15" s="64">
        <v>46006</v>
      </c>
      <c r="E15" s="39">
        <v>6</v>
      </c>
    </row>
    <row r="16" spans="1:12" x14ac:dyDescent="0.2">
      <c r="A16" s="8">
        <v>15</v>
      </c>
      <c r="B16" s="46" t="s">
        <v>354</v>
      </c>
      <c r="C16" s="110">
        <v>0.52083333333333337</v>
      </c>
      <c r="D16" s="95">
        <v>46008</v>
      </c>
      <c r="E16" s="39">
        <v>1</v>
      </c>
    </row>
    <row r="17" spans="1:5" x14ac:dyDescent="0.2">
      <c r="A17" s="8">
        <v>16</v>
      </c>
      <c r="B17" s="66" t="s">
        <v>132</v>
      </c>
      <c r="C17" s="223" t="s">
        <v>317</v>
      </c>
      <c r="D17" s="200" t="s">
        <v>357</v>
      </c>
      <c r="E17" s="201">
        <v>2</v>
      </c>
    </row>
    <row r="18" spans="1:5" x14ac:dyDescent="0.2">
      <c r="A18" s="8">
        <v>17</v>
      </c>
      <c r="B18" s="9" t="s">
        <v>174</v>
      </c>
      <c r="C18" s="17" t="s">
        <v>175</v>
      </c>
      <c r="D18" s="51">
        <v>46009</v>
      </c>
      <c r="E18" s="39">
        <v>1</v>
      </c>
    </row>
    <row r="19" spans="1:5" x14ac:dyDescent="0.2">
      <c r="A19" s="8">
        <v>18</v>
      </c>
      <c r="B19" s="66" t="s">
        <v>70</v>
      </c>
      <c r="C19" s="17" t="s">
        <v>355</v>
      </c>
      <c r="D19" s="64">
        <v>46013</v>
      </c>
      <c r="E19" s="39">
        <v>2</v>
      </c>
    </row>
    <row r="20" spans="1:5" x14ac:dyDescent="0.2">
      <c r="A20" s="8">
        <v>19</v>
      </c>
      <c r="B20" s="9" t="s">
        <v>174</v>
      </c>
      <c r="C20" s="17" t="s">
        <v>394</v>
      </c>
      <c r="D20" s="64">
        <v>46015</v>
      </c>
      <c r="E20" s="39">
        <v>1</v>
      </c>
    </row>
    <row r="21" spans="1:5" x14ac:dyDescent="0.2">
      <c r="A21" s="8">
        <v>20</v>
      </c>
      <c r="B21" s="9" t="s">
        <v>270</v>
      </c>
      <c r="C21" s="17" t="s">
        <v>384</v>
      </c>
      <c r="D21" s="64">
        <v>46015</v>
      </c>
      <c r="E21" s="39">
        <v>1</v>
      </c>
    </row>
    <row r="22" spans="1:5" x14ac:dyDescent="0.2">
      <c r="A22" s="8">
        <v>21</v>
      </c>
      <c r="B22" s="9" t="s">
        <v>347</v>
      </c>
      <c r="C22" s="17" t="s">
        <v>383</v>
      </c>
      <c r="D22" s="64">
        <v>46015</v>
      </c>
      <c r="E22" s="39">
        <v>1</v>
      </c>
    </row>
    <row r="23" spans="1:5" x14ac:dyDescent="0.2">
      <c r="A23" s="48">
        <v>22</v>
      </c>
      <c r="B23" s="9" t="s">
        <v>347</v>
      </c>
      <c r="C23" s="17" t="s">
        <v>397</v>
      </c>
      <c r="D23" s="64">
        <v>46027</v>
      </c>
      <c r="E23" s="39">
        <v>1</v>
      </c>
    </row>
    <row r="24" spans="1:5" x14ac:dyDescent="0.2">
      <c r="A24" s="48">
        <v>23</v>
      </c>
      <c r="B24" s="9" t="s">
        <v>400</v>
      </c>
      <c r="C24" s="17" t="s">
        <v>399</v>
      </c>
      <c r="D24" s="64">
        <v>46027</v>
      </c>
      <c r="E24" s="39">
        <v>1</v>
      </c>
    </row>
    <row r="25" spans="1:5" x14ac:dyDescent="0.2">
      <c r="A25" s="8">
        <v>24</v>
      </c>
      <c r="B25" s="9" t="s">
        <v>402</v>
      </c>
      <c r="C25" s="17" t="s">
        <v>399</v>
      </c>
      <c r="D25" s="64">
        <v>46030</v>
      </c>
      <c r="E25" s="39">
        <v>1</v>
      </c>
    </row>
    <row r="26" spans="1:5" x14ac:dyDescent="0.2">
      <c r="A26" s="8">
        <v>25</v>
      </c>
      <c r="B26" s="9" t="s">
        <v>411</v>
      </c>
      <c r="C26" s="17" t="s">
        <v>380</v>
      </c>
      <c r="D26" s="108">
        <v>46032</v>
      </c>
      <c r="E26" s="45">
        <v>2</v>
      </c>
    </row>
    <row r="27" spans="1:5" x14ac:dyDescent="0.2">
      <c r="A27" s="8">
        <v>26</v>
      </c>
      <c r="B27" s="9" t="s">
        <v>418</v>
      </c>
      <c r="C27" s="17" t="s">
        <v>380</v>
      </c>
      <c r="D27" s="68">
        <v>46033</v>
      </c>
      <c r="E27" s="45">
        <v>2</v>
      </c>
    </row>
    <row r="28" spans="1:5" x14ac:dyDescent="0.2">
      <c r="A28" s="8">
        <v>27</v>
      </c>
      <c r="B28" s="9" t="s">
        <v>417</v>
      </c>
      <c r="C28" s="17" t="s">
        <v>397</v>
      </c>
      <c r="D28" s="68">
        <v>46033</v>
      </c>
      <c r="E28" s="45">
        <v>2</v>
      </c>
    </row>
    <row r="29" spans="1:5" x14ac:dyDescent="0.2">
      <c r="A29" s="8">
        <v>28</v>
      </c>
      <c r="B29" s="28" t="s">
        <v>408</v>
      </c>
      <c r="C29" s="47" t="s">
        <v>397</v>
      </c>
      <c r="D29" s="64">
        <v>46034</v>
      </c>
      <c r="E29" s="17">
        <v>2</v>
      </c>
    </row>
    <row r="30" spans="1:5" x14ac:dyDescent="0.2">
      <c r="A30" s="8">
        <v>29</v>
      </c>
      <c r="B30" s="9" t="s">
        <v>409</v>
      </c>
      <c r="C30" s="17" t="s">
        <v>399</v>
      </c>
      <c r="D30" s="64">
        <v>46034</v>
      </c>
      <c r="E30" s="39">
        <v>1</v>
      </c>
    </row>
    <row r="31" spans="1:5" x14ac:dyDescent="0.2">
      <c r="A31" s="8">
        <v>30</v>
      </c>
      <c r="B31" s="28" t="s">
        <v>379</v>
      </c>
      <c r="C31" s="17" t="s">
        <v>380</v>
      </c>
      <c r="D31" s="50">
        <v>46035</v>
      </c>
      <c r="E31" s="39">
        <v>2</v>
      </c>
    </row>
    <row r="32" spans="1:5" x14ac:dyDescent="0.2">
      <c r="A32" s="8">
        <v>31</v>
      </c>
      <c r="B32" s="28" t="s">
        <v>420</v>
      </c>
      <c r="C32" s="17" t="s">
        <v>380</v>
      </c>
      <c r="D32" s="50">
        <v>46036</v>
      </c>
      <c r="E32" s="39">
        <v>1</v>
      </c>
    </row>
    <row r="33" spans="1:5" x14ac:dyDescent="0.2">
      <c r="A33" s="8">
        <v>32</v>
      </c>
      <c r="B33" s="28" t="s">
        <v>416</v>
      </c>
      <c r="C33" s="17" t="s">
        <v>397</v>
      </c>
      <c r="D33" s="50">
        <v>46036</v>
      </c>
      <c r="E33" s="39">
        <v>1</v>
      </c>
    </row>
    <row r="34" spans="1:5" x14ac:dyDescent="0.2">
      <c r="A34" s="8">
        <v>33</v>
      </c>
      <c r="B34" s="46" t="s">
        <v>401</v>
      </c>
      <c r="C34" s="17" t="s">
        <v>399</v>
      </c>
      <c r="D34" s="64">
        <v>46038</v>
      </c>
      <c r="E34" s="17">
        <v>1</v>
      </c>
    </row>
    <row r="35" spans="1:5" x14ac:dyDescent="0.2">
      <c r="A35" s="8">
        <v>34</v>
      </c>
      <c r="B35" s="9" t="s">
        <v>414</v>
      </c>
      <c r="C35" s="17" t="s">
        <v>399</v>
      </c>
      <c r="D35" s="68">
        <v>46039</v>
      </c>
      <c r="E35" s="45">
        <v>2</v>
      </c>
    </row>
    <row r="36" spans="1:5" x14ac:dyDescent="0.2">
      <c r="A36" s="8">
        <v>35</v>
      </c>
      <c r="B36" s="9" t="s">
        <v>421</v>
      </c>
      <c r="C36" s="17" t="s">
        <v>399</v>
      </c>
      <c r="D36" s="68">
        <v>46040</v>
      </c>
      <c r="E36" s="45">
        <v>2</v>
      </c>
    </row>
    <row r="37" spans="1:5" x14ac:dyDescent="0.2">
      <c r="A37" s="8">
        <v>36</v>
      </c>
      <c r="B37" s="46" t="s">
        <v>356</v>
      </c>
      <c r="C37" s="255" t="s">
        <v>332</v>
      </c>
      <c r="D37" s="204">
        <v>46037</v>
      </c>
      <c r="E37" s="102">
        <v>2</v>
      </c>
    </row>
    <row r="38" spans="1:5" x14ac:dyDescent="0.2">
      <c r="A38" s="8">
        <v>37</v>
      </c>
      <c r="B38" s="9" t="s">
        <v>267</v>
      </c>
      <c r="C38" s="17" t="s">
        <v>455</v>
      </c>
      <c r="D38" s="64">
        <v>46042</v>
      </c>
      <c r="E38" s="39">
        <v>2</v>
      </c>
    </row>
    <row r="39" spans="1:5" x14ac:dyDescent="0.2">
      <c r="A39" s="8">
        <v>38</v>
      </c>
      <c r="B39" s="66" t="s">
        <v>70</v>
      </c>
      <c r="C39" s="17"/>
      <c r="D39" s="64">
        <v>46066</v>
      </c>
      <c r="E39" s="39">
        <v>2</v>
      </c>
    </row>
    <row r="40" spans="1:5" x14ac:dyDescent="0.2">
      <c r="A40" s="8">
        <v>39</v>
      </c>
      <c r="B40" s="66" t="s">
        <v>70</v>
      </c>
      <c r="C40" s="17" t="s">
        <v>488</v>
      </c>
      <c r="D40" s="64">
        <v>46073</v>
      </c>
      <c r="E40" s="39">
        <v>2</v>
      </c>
    </row>
    <row r="41" spans="1:5" ht="17" x14ac:dyDescent="0.2">
      <c r="A41" s="8">
        <v>40</v>
      </c>
      <c r="B41" s="242" t="s">
        <v>494</v>
      </c>
      <c r="C41" s="141" t="s">
        <v>26</v>
      </c>
      <c r="D41" s="144" t="s">
        <v>495</v>
      </c>
      <c r="E41" s="140">
        <v>20</v>
      </c>
    </row>
    <row r="42" spans="1:5" x14ac:dyDescent="0.2">
      <c r="A42" s="8">
        <v>41</v>
      </c>
      <c r="B42" s="9" t="s">
        <v>531</v>
      </c>
      <c r="C42" s="17" t="s">
        <v>332</v>
      </c>
      <c r="D42" s="9"/>
      <c r="E42" s="39">
        <v>1</v>
      </c>
    </row>
    <row r="43" spans="1:5" x14ac:dyDescent="0.2">
      <c r="A43" s="8">
        <v>42</v>
      </c>
      <c r="B43" s="250" t="s">
        <v>61</v>
      </c>
      <c r="C43" s="251" t="s">
        <v>107</v>
      </c>
      <c r="D43" s="252">
        <v>45706</v>
      </c>
      <c r="E43" s="253">
        <v>1</v>
      </c>
    </row>
    <row r="44" spans="1:5" x14ac:dyDescent="0.2">
      <c r="A44" s="8">
        <v>43</v>
      </c>
      <c r="B44" s="9" t="s">
        <v>132</v>
      </c>
      <c r="C44" s="17" t="s">
        <v>526</v>
      </c>
      <c r="D44" s="64">
        <v>46087</v>
      </c>
      <c r="E44" s="39">
        <v>2</v>
      </c>
    </row>
    <row r="45" spans="1:5" x14ac:dyDescent="0.2">
      <c r="A45" s="8">
        <v>44</v>
      </c>
      <c r="B45" s="9" t="s">
        <v>561</v>
      </c>
      <c r="C45" s="17"/>
      <c r="D45" s="9"/>
      <c r="E45" s="39">
        <v>3</v>
      </c>
    </row>
    <row r="46" spans="1:5" x14ac:dyDescent="0.2">
      <c r="A46" s="8">
        <v>45</v>
      </c>
      <c r="B46" s="259" t="s">
        <v>639</v>
      </c>
      <c r="C46" s="141" t="s">
        <v>640</v>
      </c>
      <c r="D46" s="144" t="s">
        <v>495</v>
      </c>
      <c r="E46" s="140">
        <v>20</v>
      </c>
    </row>
    <row r="47" spans="1:5" x14ac:dyDescent="0.2">
      <c r="A47" s="8">
        <v>46</v>
      </c>
      <c r="B47" s="9" t="s">
        <v>398</v>
      </c>
      <c r="C47" s="17">
        <v>1030</v>
      </c>
      <c r="D47" s="64">
        <v>46112</v>
      </c>
      <c r="E47" s="17">
        <v>1</v>
      </c>
    </row>
    <row r="48" spans="1:5" x14ac:dyDescent="0.2">
      <c r="A48" s="8">
        <v>47</v>
      </c>
      <c r="B48" s="79" t="s">
        <v>559</v>
      </c>
      <c r="C48" s="17"/>
      <c r="D48" s="9"/>
      <c r="E48" s="17">
        <v>2</v>
      </c>
    </row>
    <row r="49" spans="1:5" x14ac:dyDescent="0.2">
      <c r="A49" s="8">
        <v>48</v>
      </c>
      <c r="B49" s="79" t="s">
        <v>558</v>
      </c>
      <c r="C49" s="17"/>
      <c r="D49" s="64">
        <v>46113</v>
      </c>
      <c r="E49" s="17">
        <v>2</v>
      </c>
    </row>
    <row r="50" spans="1:5" x14ac:dyDescent="0.2">
      <c r="A50" s="8">
        <v>49</v>
      </c>
      <c r="B50" s="9" t="s">
        <v>174</v>
      </c>
      <c r="C50" s="17" t="s">
        <v>520</v>
      </c>
      <c r="D50" s="64">
        <v>46119</v>
      </c>
      <c r="E50" s="39">
        <v>1</v>
      </c>
    </row>
    <row r="51" spans="1:5" x14ac:dyDescent="0.2">
      <c r="A51" s="8">
        <v>50</v>
      </c>
      <c r="B51" s="79" t="s">
        <v>560</v>
      </c>
      <c r="C51" s="17"/>
      <c r="D51" s="64">
        <v>46119</v>
      </c>
      <c r="E51" s="39">
        <v>2</v>
      </c>
    </row>
    <row r="52" spans="1:5" x14ac:dyDescent="0.2">
      <c r="A52" s="8">
        <v>51</v>
      </c>
      <c r="B52" s="9" t="s">
        <v>516</v>
      </c>
      <c r="C52" s="39" t="s">
        <v>576</v>
      </c>
      <c r="D52" s="64">
        <v>46121</v>
      </c>
      <c r="E52" s="39">
        <v>1</v>
      </c>
    </row>
    <row r="53" spans="1:5" x14ac:dyDescent="0.2">
      <c r="A53" s="8">
        <v>52</v>
      </c>
      <c r="B53" s="9" t="s">
        <v>541</v>
      </c>
      <c r="C53" s="17" t="s">
        <v>542</v>
      </c>
      <c r="D53" s="68">
        <v>46123</v>
      </c>
      <c r="E53" s="45">
        <v>3</v>
      </c>
    </row>
    <row r="54" spans="1:5" x14ac:dyDescent="0.2">
      <c r="A54" s="8">
        <v>53</v>
      </c>
      <c r="B54" s="9" t="s">
        <v>544</v>
      </c>
      <c r="C54" s="17" t="s">
        <v>543</v>
      </c>
      <c r="D54" s="68">
        <v>46123</v>
      </c>
      <c r="E54" s="45">
        <v>3</v>
      </c>
    </row>
    <row r="55" spans="1:5" x14ac:dyDescent="0.2">
      <c r="A55" s="8">
        <v>54</v>
      </c>
      <c r="B55" s="9" t="s">
        <v>522</v>
      </c>
      <c r="C55" s="39" t="s">
        <v>578</v>
      </c>
      <c r="D55" s="64">
        <v>46125</v>
      </c>
      <c r="E55" s="39">
        <v>1</v>
      </c>
    </row>
    <row r="56" spans="1:5" x14ac:dyDescent="0.2">
      <c r="A56" s="8">
        <v>55</v>
      </c>
      <c r="B56" s="9" t="s">
        <v>583</v>
      </c>
      <c r="C56" s="17" t="s">
        <v>584</v>
      </c>
      <c r="D56" s="64">
        <v>46126</v>
      </c>
      <c r="E56" s="39">
        <v>1</v>
      </c>
    </row>
    <row r="57" spans="1:5" x14ac:dyDescent="0.2">
      <c r="A57" s="8">
        <v>56</v>
      </c>
      <c r="B57" s="9" t="s">
        <v>516</v>
      </c>
      <c r="C57" s="39" t="s">
        <v>596</v>
      </c>
      <c r="D57" s="123">
        <v>46128</v>
      </c>
      <c r="E57" s="39">
        <v>1</v>
      </c>
    </row>
    <row r="58" spans="1:5" x14ac:dyDescent="0.2">
      <c r="A58" s="8">
        <v>57</v>
      </c>
      <c r="B58" s="9" t="s">
        <v>412</v>
      </c>
      <c r="C58" s="17" t="s">
        <v>585</v>
      </c>
      <c r="D58" s="68">
        <v>46128</v>
      </c>
      <c r="E58" s="45">
        <v>2</v>
      </c>
    </row>
    <row r="59" spans="1:5" x14ac:dyDescent="0.2">
      <c r="A59" s="8">
        <v>58</v>
      </c>
      <c r="B59" s="9" t="s">
        <v>539</v>
      </c>
      <c r="C59" s="17" t="s">
        <v>599</v>
      </c>
      <c r="D59" s="68">
        <v>46131</v>
      </c>
      <c r="E59" s="45">
        <v>2</v>
      </c>
    </row>
    <row r="60" spans="1:5" x14ac:dyDescent="0.2">
      <c r="A60" s="8">
        <v>59</v>
      </c>
      <c r="B60" s="9" t="s">
        <v>409</v>
      </c>
      <c r="C60" s="17" t="s">
        <v>568</v>
      </c>
      <c r="D60" s="64">
        <v>46134</v>
      </c>
      <c r="E60" s="39">
        <v>1</v>
      </c>
    </row>
    <row r="61" spans="1:5" x14ac:dyDescent="0.2">
      <c r="A61" s="8">
        <v>60</v>
      </c>
      <c r="B61" s="9" t="s">
        <v>593</v>
      </c>
      <c r="C61" s="112" t="s">
        <v>542</v>
      </c>
      <c r="D61" s="262">
        <v>46137</v>
      </c>
      <c r="E61" s="45">
        <v>3</v>
      </c>
    </row>
    <row r="62" spans="1:5" x14ac:dyDescent="0.2">
      <c r="A62" s="8">
        <v>61</v>
      </c>
      <c r="B62" s="9" t="s">
        <v>354</v>
      </c>
      <c r="C62" s="17" t="s">
        <v>609</v>
      </c>
      <c r="D62" s="64">
        <v>46139</v>
      </c>
      <c r="E62" s="17">
        <v>1</v>
      </c>
    </row>
    <row r="63" spans="1:5" x14ac:dyDescent="0.2">
      <c r="A63" s="8">
        <v>62</v>
      </c>
      <c r="B63" s="9" t="s">
        <v>522</v>
      </c>
      <c r="C63" s="112" t="s">
        <v>596</v>
      </c>
      <c r="D63" s="123">
        <v>46139</v>
      </c>
      <c r="E63" s="39">
        <v>1</v>
      </c>
    </row>
    <row r="64" spans="1:5" x14ac:dyDescent="0.2">
      <c r="A64" s="8">
        <v>63</v>
      </c>
      <c r="B64" s="9" t="s">
        <v>638</v>
      </c>
      <c r="C64" s="17" t="s">
        <v>107</v>
      </c>
      <c r="D64" s="50" t="s">
        <v>556</v>
      </c>
      <c r="E64" s="39">
        <v>10</v>
      </c>
    </row>
    <row r="65" spans="1:6" x14ac:dyDescent="0.2">
      <c r="A65" s="8">
        <v>64</v>
      </c>
      <c r="B65" s="9" t="s">
        <v>322</v>
      </c>
      <c r="C65" s="17" t="s">
        <v>575</v>
      </c>
      <c r="D65" s="64">
        <v>46156</v>
      </c>
      <c r="E65" s="39">
        <v>1</v>
      </c>
    </row>
    <row r="66" spans="1:6" x14ac:dyDescent="0.2">
      <c r="A66" s="8"/>
      <c r="B66" s="9"/>
      <c r="C66" s="17"/>
      <c r="D66" s="64"/>
      <c r="E66" s="39"/>
    </row>
    <row r="67" spans="1:6" x14ac:dyDescent="0.2">
      <c r="A67" s="8">
        <v>65</v>
      </c>
      <c r="B67" s="9" t="s">
        <v>322</v>
      </c>
      <c r="C67" s="17" t="s">
        <v>606</v>
      </c>
      <c r="D67" s="64">
        <v>46174</v>
      </c>
      <c r="E67" s="39">
        <v>1</v>
      </c>
      <c r="F67" s="319">
        <f>SUM(E67:E85)</f>
        <v>25</v>
      </c>
    </row>
    <row r="68" spans="1:6" x14ac:dyDescent="0.2">
      <c r="A68" s="8">
        <v>66</v>
      </c>
      <c r="B68" s="9" t="s">
        <v>653</v>
      </c>
      <c r="C68" s="17" t="s">
        <v>654</v>
      </c>
      <c r="D68" s="64">
        <v>46174</v>
      </c>
      <c r="E68" s="39">
        <v>1</v>
      </c>
      <c r="F68" s="319"/>
    </row>
    <row r="69" spans="1:6" x14ac:dyDescent="0.2">
      <c r="A69" s="8">
        <v>67</v>
      </c>
      <c r="B69" s="9" t="s">
        <v>402</v>
      </c>
      <c r="C69" s="17" t="s">
        <v>622</v>
      </c>
      <c r="D69" s="64">
        <v>46174</v>
      </c>
      <c r="E69" s="39">
        <v>1</v>
      </c>
      <c r="F69" s="319"/>
    </row>
    <row r="70" spans="1:6" x14ac:dyDescent="0.2">
      <c r="A70" s="8">
        <v>68</v>
      </c>
      <c r="B70" s="9" t="s">
        <v>322</v>
      </c>
      <c r="C70" s="17" t="s">
        <v>606</v>
      </c>
      <c r="D70" s="64">
        <v>46175</v>
      </c>
      <c r="E70" s="39">
        <v>1</v>
      </c>
      <c r="F70" s="319"/>
    </row>
    <row r="71" spans="1:6" x14ac:dyDescent="0.2">
      <c r="A71" s="8">
        <v>69</v>
      </c>
      <c r="B71" s="9" t="s">
        <v>354</v>
      </c>
      <c r="C71" s="17" t="s">
        <v>654</v>
      </c>
      <c r="D71" s="64">
        <v>46175</v>
      </c>
      <c r="E71" s="39">
        <v>1</v>
      </c>
      <c r="F71" s="319"/>
    </row>
    <row r="72" spans="1:6" x14ac:dyDescent="0.2">
      <c r="A72" s="8">
        <v>70</v>
      </c>
      <c r="B72" s="9" t="s">
        <v>655</v>
      </c>
      <c r="C72" s="17" t="s">
        <v>606</v>
      </c>
      <c r="D72" s="64">
        <v>46176</v>
      </c>
      <c r="E72" s="39">
        <v>1</v>
      </c>
      <c r="F72" s="319"/>
    </row>
    <row r="73" spans="1:6" x14ac:dyDescent="0.2">
      <c r="A73" s="8">
        <v>71</v>
      </c>
      <c r="B73" s="9" t="s">
        <v>655</v>
      </c>
      <c r="C73" s="222" t="s">
        <v>622</v>
      </c>
      <c r="D73" s="64">
        <v>46176</v>
      </c>
      <c r="E73" s="39">
        <v>1</v>
      </c>
      <c r="F73" s="319"/>
    </row>
    <row r="74" spans="1:6" x14ac:dyDescent="0.2">
      <c r="A74" s="8">
        <v>72</v>
      </c>
      <c r="B74" s="9" t="s">
        <v>656</v>
      </c>
      <c r="C74" s="17" t="s">
        <v>397</v>
      </c>
      <c r="D74" s="64">
        <v>46177</v>
      </c>
      <c r="E74" s="39">
        <v>1</v>
      </c>
      <c r="F74" s="319"/>
    </row>
    <row r="75" spans="1:6" x14ac:dyDescent="0.2">
      <c r="A75" s="8">
        <v>73</v>
      </c>
      <c r="B75" s="9" t="s">
        <v>420</v>
      </c>
      <c r="C75" s="39" t="s">
        <v>622</v>
      </c>
      <c r="D75" s="64">
        <v>46177</v>
      </c>
      <c r="E75" s="39">
        <v>1</v>
      </c>
      <c r="F75" s="319"/>
    </row>
    <row r="76" spans="1:6" x14ac:dyDescent="0.2">
      <c r="A76" s="8">
        <v>74</v>
      </c>
      <c r="B76" s="28" t="s">
        <v>620</v>
      </c>
      <c r="C76" s="17" t="s">
        <v>606</v>
      </c>
      <c r="D76" s="64">
        <v>46178</v>
      </c>
      <c r="E76" s="39">
        <v>2</v>
      </c>
      <c r="F76" s="319"/>
    </row>
    <row r="77" spans="1:6" x14ac:dyDescent="0.2">
      <c r="A77" s="8">
        <v>75</v>
      </c>
      <c r="B77" s="28" t="s">
        <v>621</v>
      </c>
      <c r="C77" s="222" t="s">
        <v>622</v>
      </c>
      <c r="D77" s="158">
        <v>46178</v>
      </c>
      <c r="E77" s="102">
        <v>2</v>
      </c>
      <c r="F77" s="319"/>
    </row>
    <row r="78" spans="1:6" x14ac:dyDescent="0.2">
      <c r="A78" s="8">
        <v>76</v>
      </c>
      <c r="B78" s="9" t="s">
        <v>646</v>
      </c>
      <c r="C78" s="222" t="s">
        <v>622</v>
      </c>
      <c r="D78" s="68">
        <v>46179</v>
      </c>
      <c r="E78" s="45">
        <v>2</v>
      </c>
      <c r="F78" s="319"/>
    </row>
    <row r="79" spans="1:6" x14ac:dyDescent="0.2">
      <c r="A79" s="8">
        <v>77</v>
      </c>
      <c r="B79" s="9" t="s">
        <v>656</v>
      </c>
      <c r="C79" s="39" t="s">
        <v>606</v>
      </c>
      <c r="D79" s="64">
        <v>46181</v>
      </c>
      <c r="E79" s="39">
        <v>1</v>
      </c>
      <c r="F79" s="319"/>
    </row>
    <row r="80" spans="1:6" x14ac:dyDescent="0.2">
      <c r="A80" s="8">
        <v>78</v>
      </c>
      <c r="B80" s="9" t="s">
        <v>402</v>
      </c>
      <c r="C80" s="17" t="s">
        <v>397</v>
      </c>
      <c r="D80" s="64">
        <v>46181</v>
      </c>
      <c r="E80" s="39">
        <v>1</v>
      </c>
      <c r="F80" s="319"/>
    </row>
    <row r="81" spans="1:6" x14ac:dyDescent="0.2">
      <c r="A81" s="8">
        <v>79</v>
      </c>
      <c r="B81" s="9" t="s">
        <v>409</v>
      </c>
      <c r="C81" s="17" t="s">
        <v>399</v>
      </c>
      <c r="D81" s="64">
        <v>46181</v>
      </c>
      <c r="E81" s="39">
        <v>1</v>
      </c>
      <c r="F81" s="319"/>
    </row>
    <row r="82" spans="1:6" x14ac:dyDescent="0.2">
      <c r="A82" s="8">
        <v>80</v>
      </c>
      <c r="B82" s="28" t="s">
        <v>619</v>
      </c>
      <c r="C82" s="17" t="s">
        <v>606</v>
      </c>
      <c r="D82" s="64">
        <v>46183</v>
      </c>
      <c r="E82" s="39">
        <v>2</v>
      </c>
      <c r="F82" s="319"/>
    </row>
    <row r="83" spans="1:6" x14ac:dyDescent="0.2">
      <c r="A83" s="8">
        <v>81</v>
      </c>
      <c r="B83" s="9" t="s">
        <v>551</v>
      </c>
      <c r="C83" s="17" t="s">
        <v>606</v>
      </c>
      <c r="D83" s="64">
        <v>46185</v>
      </c>
      <c r="E83" s="39">
        <v>1</v>
      </c>
      <c r="F83" s="319"/>
    </row>
    <row r="84" spans="1:6" x14ac:dyDescent="0.2">
      <c r="A84" s="8">
        <v>82</v>
      </c>
      <c r="B84" s="9" t="s">
        <v>657</v>
      </c>
      <c r="C84" s="17" t="s">
        <v>606</v>
      </c>
      <c r="D84" s="68">
        <v>46186</v>
      </c>
      <c r="E84" s="45">
        <v>2</v>
      </c>
      <c r="F84" s="319"/>
    </row>
    <row r="85" spans="1:6" x14ac:dyDescent="0.2">
      <c r="A85" s="8">
        <v>83</v>
      </c>
      <c r="B85" s="9" t="s">
        <v>400</v>
      </c>
      <c r="C85" s="17" t="s">
        <v>399</v>
      </c>
      <c r="D85" s="68">
        <v>46186</v>
      </c>
      <c r="E85" s="45">
        <v>2</v>
      </c>
      <c r="F85" s="319"/>
    </row>
    <row r="86" spans="1:6" x14ac:dyDescent="0.2">
      <c r="A86" s="8">
        <v>84</v>
      </c>
      <c r="B86" s="9"/>
      <c r="C86" s="17"/>
      <c r="D86" s="64"/>
      <c r="E86" s="39"/>
    </row>
    <row r="87" spans="1:6" x14ac:dyDescent="0.2">
      <c r="A87" s="8">
        <v>85</v>
      </c>
      <c r="B87" s="9"/>
      <c r="C87" s="17"/>
      <c r="D87" s="64"/>
      <c r="E87" s="39"/>
    </row>
    <row r="88" spans="1:6" x14ac:dyDescent="0.2">
      <c r="A88" s="8">
        <v>86</v>
      </c>
      <c r="B88" s="9"/>
      <c r="C88" s="17"/>
      <c r="D88" s="64"/>
      <c r="E88" s="39"/>
    </row>
    <row r="89" spans="1:6" x14ac:dyDescent="0.2">
      <c r="A89" s="8">
        <v>87</v>
      </c>
      <c r="B89" s="9"/>
      <c r="C89" s="17"/>
      <c r="D89" s="64"/>
      <c r="E89" s="39"/>
    </row>
    <row r="90" spans="1:6" x14ac:dyDescent="0.2">
      <c r="A90" s="8">
        <v>88</v>
      </c>
      <c r="B90" s="9"/>
      <c r="C90" s="17"/>
      <c r="D90" s="64"/>
      <c r="E90" s="39"/>
    </row>
    <row r="91" spans="1:6" x14ac:dyDescent="0.2">
      <c r="A91" s="8">
        <v>76</v>
      </c>
      <c r="B91" s="9"/>
      <c r="C91" s="17"/>
      <c r="D91" s="64"/>
      <c r="E91" s="39"/>
    </row>
    <row r="92" spans="1:6" x14ac:dyDescent="0.2">
      <c r="A92" s="8">
        <v>77</v>
      </c>
      <c r="B92" s="9"/>
      <c r="C92" s="17"/>
      <c r="D92" s="64"/>
      <c r="E92" s="39"/>
    </row>
    <row r="93" spans="1:6" x14ac:dyDescent="0.2">
      <c r="A93" s="8">
        <v>78</v>
      </c>
      <c r="B93" s="9"/>
      <c r="C93" s="17"/>
      <c r="D93" s="9"/>
      <c r="E93" s="39"/>
    </row>
    <row r="94" spans="1:6" x14ac:dyDescent="0.2">
      <c r="A94" s="8">
        <v>79</v>
      </c>
      <c r="B94" s="9"/>
      <c r="C94" s="17"/>
      <c r="D94" s="64"/>
      <c r="E94" s="39"/>
    </row>
    <row r="95" spans="1:6" x14ac:dyDescent="0.2">
      <c r="A95" s="8">
        <v>80</v>
      </c>
      <c r="B95" s="9"/>
      <c r="C95" s="17"/>
      <c r="D95" s="64"/>
      <c r="E95" s="39"/>
    </row>
    <row r="96" spans="1:6" ht="17" thickBot="1" x14ac:dyDescent="0.25"/>
    <row r="97" spans="1:7" ht="17" thickBot="1" x14ac:dyDescent="0.25">
      <c r="A97" s="302" t="s">
        <v>92</v>
      </c>
      <c r="B97" s="303"/>
      <c r="C97" s="303"/>
      <c r="D97" s="303"/>
      <c r="E97" s="99">
        <f>SUM(E2:E95)</f>
        <v>200</v>
      </c>
      <c r="F97" s="7">
        <v>55</v>
      </c>
      <c r="G97" s="7">
        <f>E97+F97</f>
        <v>255</v>
      </c>
    </row>
  </sheetData>
  <mergeCells count="3">
    <mergeCell ref="A97:D97"/>
    <mergeCell ref="I1:L1"/>
    <mergeCell ref="F67:F85"/>
  </mergeCells>
  <hyperlinks>
    <hyperlink ref="I4" r:id="rId1" display="https://obs.itu.edu.tr/public/DersBilgi?bransKodu=GMI&amp;dersNo=324" xr:uid="{29C43D4C-21C1-0241-9D14-29EFEAEFD878}"/>
    <hyperlink ref="I5" r:id="rId2" display="https://obs.itu.edu.tr/public/DersBilgi?bransKodu=GMI&amp;dersNo=324" xr:uid="{2176D688-0E41-BA45-8BBF-6377E33F2BEF}"/>
    <hyperlink ref="I3" r:id="rId3" display="https://obs.itu.edu.tr/public/DersBilgi?bransKodu=GMI&amp;dersNo=324E" xr:uid="{B9861B0A-EC94-D74A-8240-FB61F427197A}"/>
    <hyperlink ref="B7" r:id="rId4" display="https://obs.itu.edu.tr/public/DersBilgi?bransKodu=GMI&amp;dersNo=324" xr:uid="{73251DA1-891B-7D40-B9A6-2A00F21902AF}"/>
  </hyperlinks>
  <pageMargins left="0.7" right="0.7" top="0.75" bottom="0.75" header="0.3" footer="0.3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6E00F-B29A-2645-A947-AA5A37122331}">
  <dimension ref="A1:J89"/>
  <sheetViews>
    <sheetView topLeftCell="A57" zoomScale="150" zoomScaleNormal="100" workbookViewId="0">
      <selection activeCell="J56" sqref="J56"/>
    </sheetView>
  </sheetViews>
  <sheetFormatPr baseColWidth="10" defaultRowHeight="16" x14ac:dyDescent="0.2"/>
  <cols>
    <col min="1" max="1" width="7.33203125" style="7" customWidth="1"/>
    <col min="2" max="2" width="47.5" style="7" bestFit="1" customWidth="1"/>
    <col min="3" max="3" width="12.33203125" style="47" customWidth="1"/>
    <col min="4" max="4" width="24.5" style="7" bestFit="1" customWidth="1"/>
    <col min="5" max="5" width="10.83203125" style="40"/>
    <col min="6" max="8" width="10.83203125" style="7"/>
    <col min="9" max="9" width="3.83203125" style="7" customWidth="1"/>
    <col min="10" max="10" width="69.1640625" style="7" bestFit="1" customWidth="1"/>
    <col min="11" max="16384" width="10.83203125" style="7"/>
  </cols>
  <sheetData>
    <row r="1" spans="1:10" s="36" customFormat="1" x14ac:dyDescent="0.2">
      <c r="A1" s="8" t="s">
        <v>13</v>
      </c>
      <c r="B1" s="18" t="s">
        <v>14</v>
      </c>
      <c r="C1" s="18" t="s">
        <v>1</v>
      </c>
      <c r="D1" s="18" t="s">
        <v>0</v>
      </c>
      <c r="E1" s="18" t="s">
        <v>15</v>
      </c>
      <c r="I1" s="301" t="s">
        <v>47</v>
      </c>
      <c r="J1" s="301"/>
    </row>
    <row r="2" spans="1:10" x14ac:dyDescent="0.2">
      <c r="A2" s="48">
        <v>1</v>
      </c>
      <c r="B2" s="9" t="s">
        <v>174</v>
      </c>
      <c r="C2" s="17" t="s">
        <v>175</v>
      </c>
      <c r="D2" s="51">
        <v>45848</v>
      </c>
      <c r="E2" s="39">
        <v>1</v>
      </c>
      <c r="F2" s="304">
        <f>SUM(E2:E9)</f>
        <v>48</v>
      </c>
      <c r="I2" s="39">
        <v>1</v>
      </c>
      <c r="J2" s="9" t="s">
        <v>95</v>
      </c>
    </row>
    <row r="3" spans="1:10" x14ac:dyDescent="0.2">
      <c r="A3" s="48">
        <v>2</v>
      </c>
      <c r="B3" s="66" t="s">
        <v>71</v>
      </c>
      <c r="C3" s="254" t="s">
        <v>176</v>
      </c>
      <c r="D3" s="51">
        <v>45849</v>
      </c>
      <c r="E3" s="39">
        <v>3</v>
      </c>
      <c r="F3" s="304"/>
      <c r="I3" s="39">
        <v>2</v>
      </c>
      <c r="J3" s="9" t="s">
        <v>96</v>
      </c>
    </row>
    <row r="4" spans="1:10" x14ac:dyDescent="0.2">
      <c r="A4" s="48">
        <v>3</v>
      </c>
      <c r="B4" s="9" t="s">
        <v>128</v>
      </c>
      <c r="C4" s="17" t="s">
        <v>100</v>
      </c>
      <c r="D4" s="64">
        <v>45863</v>
      </c>
      <c r="E4" s="39">
        <v>6</v>
      </c>
      <c r="F4" s="304"/>
      <c r="I4" s="102">
        <v>3</v>
      </c>
      <c r="J4" s="91" t="s">
        <v>219</v>
      </c>
    </row>
    <row r="5" spans="1:10" x14ac:dyDescent="0.2">
      <c r="A5" s="48">
        <v>4</v>
      </c>
      <c r="B5" s="9" t="s">
        <v>130</v>
      </c>
      <c r="C5" s="17" t="s">
        <v>100</v>
      </c>
      <c r="D5" s="68">
        <v>45865</v>
      </c>
      <c r="E5" s="45">
        <v>8</v>
      </c>
      <c r="F5" s="304"/>
      <c r="I5" s="149">
        <v>4</v>
      </c>
      <c r="J5" s="148" t="s">
        <v>316</v>
      </c>
    </row>
    <row r="6" spans="1:10" x14ac:dyDescent="0.2">
      <c r="A6" s="48">
        <v>5</v>
      </c>
      <c r="B6" s="67" t="s">
        <v>127</v>
      </c>
      <c r="C6" s="17" t="s">
        <v>100</v>
      </c>
      <c r="D6" s="64">
        <v>45866</v>
      </c>
      <c r="E6" s="39">
        <v>8</v>
      </c>
      <c r="F6" s="304"/>
    </row>
    <row r="7" spans="1:10" x14ac:dyDescent="0.2">
      <c r="A7" s="48">
        <v>6</v>
      </c>
      <c r="B7" s="9" t="s">
        <v>128</v>
      </c>
      <c r="C7" s="17" t="s">
        <v>100</v>
      </c>
      <c r="D7" s="69">
        <v>45867</v>
      </c>
      <c r="E7" s="39">
        <v>6</v>
      </c>
      <c r="F7" s="304"/>
      <c r="I7" s="74" t="s">
        <v>184</v>
      </c>
      <c r="J7" s="74" t="s">
        <v>202</v>
      </c>
    </row>
    <row r="8" spans="1:10" x14ac:dyDescent="0.2">
      <c r="A8" s="48">
        <v>7</v>
      </c>
      <c r="B8" s="9" t="s">
        <v>128</v>
      </c>
      <c r="C8" s="17" t="s">
        <v>100</v>
      </c>
      <c r="D8" s="69">
        <v>45869</v>
      </c>
      <c r="E8" s="39">
        <v>6</v>
      </c>
      <c r="F8" s="304"/>
      <c r="I8" s="74" t="s">
        <v>184</v>
      </c>
      <c r="J8" s="74" t="s">
        <v>321</v>
      </c>
    </row>
    <row r="9" spans="1:10" ht="17" thickBot="1" x14ac:dyDescent="0.25">
      <c r="A9" s="117">
        <v>8</v>
      </c>
      <c r="B9" s="118" t="s">
        <v>129</v>
      </c>
      <c r="C9" s="136" t="s">
        <v>100</v>
      </c>
      <c r="D9" s="120">
        <v>45871</v>
      </c>
      <c r="E9" s="121">
        <v>10</v>
      </c>
      <c r="F9" s="304"/>
      <c r="I9" s="74" t="s">
        <v>184</v>
      </c>
      <c r="J9" s="74" t="s">
        <v>444</v>
      </c>
    </row>
    <row r="10" spans="1:10" ht="17" thickTop="1" x14ac:dyDescent="0.2">
      <c r="A10" s="113">
        <v>9</v>
      </c>
      <c r="B10" s="114" t="s">
        <v>89</v>
      </c>
      <c r="C10" s="115" t="s">
        <v>104</v>
      </c>
      <c r="D10" s="116">
        <v>45925</v>
      </c>
      <c r="E10" s="112">
        <v>2</v>
      </c>
      <c r="F10" s="304">
        <f>SUM(E10:E87)</f>
        <v>126</v>
      </c>
    </row>
    <row r="11" spans="1:10" x14ac:dyDescent="0.2">
      <c r="A11" s="48">
        <v>10</v>
      </c>
      <c r="B11" s="9" t="s">
        <v>89</v>
      </c>
      <c r="C11" s="17" t="s">
        <v>105</v>
      </c>
      <c r="D11" s="64">
        <v>45931</v>
      </c>
      <c r="E11" s="39">
        <v>3</v>
      </c>
      <c r="F11" s="304"/>
    </row>
    <row r="12" spans="1:10" x14ac:dyDescent="0.2">
      <c r="A12" s="48">
        <v>11</v>
      </c>
      <c r="B12" s="74" t="s">
        <v>177</v>
      </c>
      <c r="C12" s="141" t="s">
        <v>178</v>
      </c>
      <c r="D12" s="145" t="s">
        <v>135</v>
      </c>
      <c r="E12" s="140">
        <v>20</v>
      </c>
      <c r="F12" s="304"/>
    </row>
    <row r="13" spans="1:10" x14ac:dyDescent="0.2">
      <c r="A13" s="8">
        <v>12</v>
      </c>
      <c r="B13" s="91" t="s">
        <v>179</v>
      </c>
      <c r="C13" s="17" t="s">
        <v>180</v>
      </c>
      <c r="D13" s="64">
        <v>45944</v>
      </c>
      <c r="E13" s="39">
        <v>6</v>
      </c>
      <c r="F13" s="304"/>
    </row>
    <row r="14" spans="1:10" x14ac:dyDescent="0.2">
      <c r="A14" s="48">
        <v>13</v>
      </c>
      <c r="B14" s="46" t="s">
        <v>272</v>
      </c>
      <c r="C14" s="17">
        <v>1830</v>
      </c>
      <c r="D14" s="68">
        <v>45979</v>
      </c>
      <c r="E14" s="45">
        <v>2</v>
      </c>
      <c r="F14" s="304"/>
    </row>
    <row r="15" spans="1:10" x14ac:dyDescent="0.2">
      <c r="A15" s="8">
        <v>14</v>
      </c>
      <c r="B15" s="9" t="s">
        <v>203</v>
      </c>
      <c r="C15" s="17" t="s">
        <v>104</v>
      </c>
      <c r="D15" s="87">
        <v>45983</v>
      </c>
      <c r="E15" s="45">
        <v>3</v>
      </c>
      <c r="F15" s="304"/>
      <c r="I15" s="261"/>
      <c r="J15" s="261"/>
    </row>
    <row r="16" spans="1:10" x14ac:dyDescent="0.2">
      <c r="A16" s="8">
        <v>15</v>
      </c>
      <c r="B16" s="9" t="s">
        <v>258</v>
      </c>
      <c r="C16" s="109">
        <v>0.375</v>
      </c>
      <c r="D16" s="64">
        <v>45986</v>
      </c>
      <c r="E16" s="39">
        <v>1</v>
      </c>
      <c r="F16" s="304"/>
      <c r="I16" s="261" t="s">
        <v>184</v>
      </c>
      <c r="J16" s="261" t="s">
        <v>434</v>
      </c>
    </row>
    <row r="17" spans="1:10" x14ac:dyDescent="0.2">
      <c r="A17" s="8">
        <v>16</v>
      </c>
      <c r="B17" s="9" t="s">
        <v>259</v>
      </c>
      <c r="C17" s="110">
        <v>0.52083333333333337</v>
      </c>
      <c r="D17" s="64">
        <v>45986</v>
      </c>
      <c r="E17" s="39">
        <v>1</v>
      </c>
      <c r="F17" s="304"/>
      <c r="I17" s="261" t="s">
        <v>184</v>
      </c>
      <c r="J17" s="261" t="s">
        <v>535</v>
      </c>
    </row>
    <row r="18" spans="1:10" x14ac:dyDescent="0.2">
      <c r="A18" s="8">
        <v>17</v>
      </c>
      <c r="B18" s="9" t="s">
        <v>260</v>
      </c>
      <c r="C18" s="110" t="s">
        <v>317</v>
      </c>
      <c r="D18" s="68">
        <v>45986</v>
      </c>
      <c r="E18" s="45">
        <v>2</v>
      </c>
      <c r="F18" s="304"/>
      <c r="I18" s="261" t="s">
        <v>184</v>
      </c>
      <c r="J18" s="261" t="s">
        <v>538</v>
      </c>
    </row>
    <row r="19" spans="1:10" x14ac:dyDescent="0.2">
      <c r="A19" s="8">
        <v>18</v>
      </c>
      <c r="B19" s="114" t="s">
        <v>267</v>
      </c>
      <c r="C19" s="115" t="s">
        <v>268</v>
      </c>
      <c r="D19" s="123">
        <v>45987</v>
      </c>
      <c r="E19" s="115">
        <v>1</v>
      </c>
      <c r="F19" s="304"/>
      <c r="I19" s="261" t="s">
        <v>184</v>
      </c>
      <c r="J19" s="261" t="s">
        <v>554</v>
      </c>
    </row>
    <row r="20" spans="1:10" x14ac:dyDescent="0.2">
      <c r="A20" s="8">
        <v>19</v>
      </c>
      <c r="B20" s="9" t="s">
        <v>238</v>
      </c>
      <c r="C20" s="17" t="s">
        <v>104</v>
      </c>
      <c r="D20" s="68">
        <v>45991</v>
      </c>
      <c r="E20" s="45">
        <v>3</v>
      </c>
      <c r="F20" s="304"/>
      <c r="I20" s="261" t="s">
        <v>184</v>
      </c>
      <c r="J20" s="261" t="s">
        <v>562</v>
      </c>
    </row>
    <row r="21" spans="1:10" x14ac:dyDescent="0.2">
      <c r="A21" s="8">
        <v>20</v>
      </c>
      <c r="B21" s="9" t="s">
        <v>270</v>
      </c>
      <c r="C21" s="17" t="s">
        <v>107</v>
      </c>
      <c r="D21" s="64">
        <v>45992</v>
      </c>
      <c r="E21" s="39">
        <v>1</v>
      </c>
      <c r="F21" s="304"/>
      <c r="I21" s="261" t="s">
        <v>184</v>
      </c>
      <c r="J21" s="261" t="s">
        <v>564</v>
      </c>
    </row>
    <row r="22" spans="1:10" x14ac:dyDescent="0.2">
      <c r="A22" s="8">
        <v>21</v>
      </c>
      <c r="B22" s="9" t="s">
        <v>311</v>
      </c>
      <c r="C22" s="110">
        <v>0.72916666666666663</v>
      </c>
      <c r="D22" s="68">
        <v>45994</v>
      </c>
      <c r="E22" s="45">
        <v>2</v>
      </c>
      <c r="F22" s="304"/>
      <c r="I22" s="261" t="s">
        <v>184</v>
      </c>
      <c r="J22" s="261" t="s">
        <v>567</v>
      </c>
    </row>
    <row r="23" spans="1:10" x14ac:dyDescent="0.2">
      <c r="A23" s="8">
        <v>22</v>
      </c>
      <c r="B23" s="9" t="s">
        <v>340</v>
      </c>
      <c r="C23" s="126"/>
      <c r="D23" s="157">
        <v>46007</v>
      </c>
      <c r="E23" s="112">
        <v>4</v>
      </c>
      <c r="F23" s="304"/>
      <c r="I23" s="261" t="s">
        <v>184</v>
      </c>
      <c r="J23" s="261" t="s">
        <v>590</v>
      </c>
    </row>
    <row r="24" spans="1:10" x14ac:dyDescent="0.2">
      <c r="A24" s="8">
        <v>23</v>
      </c>
      <c r="B24" s="46" t="s">
        <v>356</v>
      </c>
      <c r="C24" s="255" t="s">
        <v>332</v>
      </c>
      <c r="D24" s="204">
        <v>46008</v>
      </c>
      <c r="E24" s="102">
        <v>2</v>
      </c>
      <c r="F24" s="304"/>
      <c r="I24" s="261" t="s">
        <v>184</v>
      </c>
      <c r="J24" s="261" t="s">
        <v>591</v>
      </c>
    </row>
    <row r="25" spans="1:10" x14ac:dyDescent="0.2">
      <c r="A25" s="48">
        <v>24</v>
      </c>
      <c r="B25" s="91" t="s">
        <v>270</v>
      </c>
      <c r="C25" s="208">
        <v>0.375</v>
      </c>
      <c r="D25" s="204">
        <v>46009</v>
      </c>
      <c r="E25" s="102">
        <v>1</v>
      </c>
      <c r="F25" s="304"/>
      <c r="I25" s="261" t="s">
        <v>184</v>
      </c>
      <c r="J25" s="261" t="s">
        <v>595</v>
      </c>
    </row>
    <row r="26" spans="1:10" x14ac:dyDescent="0.2">
      <c r="A26" s="48">
        <v>25</v>
      </c>
      <c r="B26" s="9" t="s">
        <v>389</v>
      </c>
      <c r="C26" s="17"/>
      <c r="D26" s="9"/>
      <c r="E26" s="39">
        <v>3</v>
      </c>
      <c r="F26" s="304"/>
      <c r="I26" s="261" t="s">
        <v>184</v>
      </c>
      <c r="J26" s="261" t="s">
        <v>641</v>
      </c>
    </row>
    <row r="27" spans="1:10" x14ac:dyDescent="0.2">
      <c r="A27" s="8">
        <v>26</v>
      </c>
      <c r="B27" s="91" t="s">
        <v>402</v>
      </c>
      <c r="C27" s="17" t="s">
        <v>380</v>
      </c>
      <c r="D27" s="51">
        <v>46028</v>
      </c>
      <c r="E27" s="39">
        <v>1</v>
      </c>
      <c r="F27" s="304"/>
      <c r="I27" s="261"/>
      <c r="J27" s="261"/>
    </row>
    <row r="28" spans="1:10" x14ac:dyDescent="0.2">
      <c r="A28" s="48">
        <v>27</v>
      </c>
      <c r="B28" s="91" t="s">
        <v>322</v>
      </c>
      <c r="C28" s="17" t="s">
        <v>397</v>
      </c>
      <c r="D28" s="51">
        <v>46028</v>
      </c>
      <c r="E28" s="39">
        <v>1</v>
      </c>
      <c r="F28" s="304"/>
      <c r="I28" s="261"/>
      <c r="J28" s="261"/>
    </row>
    <row r="29" spans="1:10" x14ac:dyDescent="0.2">
      <c r="A29" s="48">
        <v>28</v>
      </c>
      <c r="B29" s="91" t="s">
        <v>339</v>
      </c>
      <c r="C29" s="256" t="s">
        <v>399</v>
      </c>
      <c r="D29" s="51">
        <v>46028</v>
      </c>
      <c r="E29" s="39">
        <v>1</v>
      </c>
      <c r="F29" s="304"/>
      <c r="I29" s="261"/>
      <c r="J29" s="261"/>
    </row>
    <row r="30" spans="1:10" x14ac:dyDescent="0.2">
      <c r="A30" s="48">
        <v>29</v>
      </c>
      <c r="B30" s="46" t="s">
        <v>381</v>
      </c>
      <c r="C30" s="256" t="s">
        <v>380</v>
      </c>
      <c r="D30" s="51">
        <v>46031</v>
      </c>
      <c r="E30" s="39">
        <v>2</v>
      </c>
      <c r="F30" s="304"/>
      <c r="I30" s="261"/>
      <c r="J30" s="261"/>
    </row>
    <row r="31" spans="1:10" x14ac:dyDescent="0.2">
      <c r="A31" s="8">
        <v>30</v>
      </c>
      <c r="B31" s="9" t="s">
        <v>411</v>
      </c>
      <c r="C31" s="17" t="s">
        <v>380</v>
      </c>
      <c r="D31" s="108">
        <v>46032</v>
      </c>
      <c r="E31" s="45">
        <v>2</v>
      </c>
      <c r="F31" s="304"/>
      <c r="I31" s="261"/>
      <c r="J31" s="261"/>
    </row>
    <row r="32" spans="1:10" x14ac:dyDescent="0.2">
      <c r="A32" s="8">
        <v>31</v>
      </c>
      <c r="B32" s="91" t="s">
        <v>422</v>
      </c>
      <c r="C32" s="17" t="s">
        <v>380</v>
      </c>
      <c r="D32" s="108">
        <v>46033</v>
      </c>
      <c r="E32" s="45">
        <v>2</v>
      </c>
      <c r="F32" s="304"/>
    </row>
    <row r="33" spans="1:6" x14ac:dyDescent="0.2">
      <c r="A33" s="8">
        <v>32</v>
      </c>
      <c r="B33" s="9" t="s">
        <v>417</v>
      </c>
      <c r="C33" s="17" t="s">
        <v>397</v>
      </c>
      <c r="D33" s="68">
        <v>46033</v>
      </c>
      <c r="E33" s="45">
        <v>2</v>
      </c>
      <c r="F33" s="304"/>
    </row>
    <row r="34" spans="1:6" x14ac:dyDescent="0.2">
      <c r="A34" s="8">
        <v>33</v>
      </c>
      <c r="B34" s="9" t="s">
        <v>408</v>
      </c>
      <c r="C34" s="17" t="s">
        <v>397</v>
      </c>
      <c r="D34" s="64">
        <v>46034</v>
      </c>
      <c r="E34" s="39">
        <v>2</v>
      </c>
      <c r="F34" s="304"/>
    </row>
    <row r="35" spans="1:6" x14ac:dyDescent="0.2">
      <c r="A35" s="8">
        <v>34</v>
      </c>
      <c r="B35" s="9" t="s">
        <v>409</v>
      </c>
      <c r="C35" s="17" t="s">
        <v>399</v>
      </c>
      <c r="D35" s="64">
        <v>46034</v>
      </c>
      <c r="E35" s="39">
        <v>1</v>
      </c>
      <c r="F35" s="304"/>
    </row>
    <row r="36" spans="1:6" x14ac:dyDescent="0.2">
      <c r="A36" s="8">
        <v>35</v>
      </c>
      <c r="B36" s="46" t="s">
        <v>379</v>
      </c>
      <c r="C36" s="256" t="s">
        <v>380</v>
      </c>
      <c r="D36" s="50">
        <v>46035</v>
      </c>
      <c r="E36" s="39">
        <v>2</v>
      </c>
      <c r="F36" s="304"/>
    </row>
    <row r="37" spans="1:6" x14ac:dyDescent="0.2">
      <c r="A37" s="8">
        <v>36</v>
      </c>
      <c r="B37" s="9" t="s">
        <v>270</v>
      </c>
      <c r="C37" s="17" t="s">
        <v>380</v>
      </c>
      <c r="D37" s="64">
        <v>46036</v>
      </c>
      <c r="E37" s="17">
        <v>1</v>
      </c>
      <c r="F37" s="304"/>
    </row>
    <row r="38" spans="1:6" x14ac:dyDescent="0.2">
      <c r="A38" s="8">
        <v>37</v>
      </c>
      <c r="B38" s="46" t="s">
        <v>416</v>
      </c>
      <c r="C38" s="17" t="s">
        <v>397</v>
      </c>
      <c r="D38" s="64">
        <v>46036</v>
      </c>
      <c r="E38" s="17">
        <v>1</v>
      </c>
      <c r="F38" s="304"/>
    </row>
    <row r="39" spans="1:6" x14ac:dyDescent="0.2">
      <c r="A39" s="8">
        <v>38</v>
      </c>
      <c r="B39" s="160" t="s">
        <v>356</v>
      </c>
      <c r="C39" s="255" t="s">
        <v>332</v>
      </c>
      <c r="D39" s="204">
        <v>46037</v>
      </c>
      <c r="E39" s="102">
        <v>2</v>
      </c>
      <c r="F39" s="304"/>
    </row>
    <row r="40" spans="1:6" x14ac:dyDescent="0.2">
      <c r="A40" s="8">
        <v>39</v>
      </c>
      <c r="B40" s="9" t="s">
        <v>413</v>
      </c>
      <c r="C40" s="17" t="s">
        <v>399</v>
      </c>
      <c r="D40" s="68">
        <v>46039</v>
      </c>
      <c r="E40" s="45">
        <v>2</v>
      </c>
      <c r="F40" s="304"/>
    </row>
    <row r="41" spans="1:6" x14ac:dyDescent="0.2">
      <c r="A41" s="8">
        <v>40</v>
      </c>
      <c r="B41" s="9" t="s">
        <v>460</v>
      </c>
      <c r="C41" s="17" t="s">
        <v>388</v>
      </c>
      <c r="D41" s="68">
        <v>46038</v>
      </c>
      <c r="E41" s="45">
        <v>2</v>
      </c>
      <c r="F41" s="304"/>
    </row>
    <row r="42" spans="1:6" x14ac:dyDescent="0.2">
      <c r="A42" s="8">
        <v>41</v>
      </c>
      <c r="B42" s="247" t="s">
        <v>491</v>
      </c>
      <c r="C42" s="257" t="s">
        <v>492</v>
      </c>
      <c r="D42" s="248">
        <v>46042</v>
      </c>
      <c r="E42" s="249"/>
      <c r="F42" s="304"/>
    </row>
    <row r="43" spans="1:6" x14ac:dyDescent="0.2">
      <c r="A43" s="8">
        <v>42</v>
      </c>
      <c r="B43" s="9" t="s">
        <v>461</v>
      </c>
      <c r="C43" s="17"/>
      <c r="D43" s="64">
        <v>46042</v>
      </c>
      <c r="E43" s="39">
        <v>1</v>
      </c>
      <c r="F43" s="304"/>
    </row>
    <row r="44" spans="1:6" x14ac:dyDescent="0.2">
      <c r="A44" s="8">
        <v>43</v>
      </c>
      <c r="B44" s="247" t="s">
        <v>493</v>
      </c>
      <c r="C44" s="257" t="s">
        <v>449</v>
      </c>
      <c r="D44" s="248">
        <v>46040</v>
      </c>
      <c r="E44" s="249"/>
      <c r="F44" s="304"/>
    </row>
    <row r="45" spans="1:6" x14ac:dyDescent="0.2">
      <c r="A45" s="8">
        <v>44</v>
      </c>
      <c r="B45" s="9" t="s">
        <v>132</v>
      </c>
      <c r="C45" s="17" t="s">
        <v>521</v>
      </c>
      <c r="D45" s="64">
        <v>46078</v>
      </c>
      <c r="E45" s="39">
        <v>1</v>
      </c>
      <c r="F45" s="304"/>
    </row>
    <row r="46" spans="1:6" x14ac:dyDescent="0.2">
      <c r="A46" s="8">
        <v>45</v>
      </c>
      <c r="B46" s="9" t="s">
        <v>409</v>
      </c>
      <c r="C46" s="17">
        <v>1130</v>
      </c>
      <c r="D46" s="64">
        <v>46121</v>
      </c>
      <c r="E46" s="39">
        <v>1</v>
      </c>
      <c r="F46" s="304"/>
    </row>
    <row r="47" spans="1:6" x14ac:dyDescent="0.2">
      <c r="A47" s="8">
        <v>46</v>
      </c>
      <c r="B47" s="9" t="s">
        <v>516</v>
      </c>
      <c r="C47" s="39" t="s">
        <v>576</v>
      </c>
      <c r="D47" s="64">
        <v>46121</v>
      </c>
      <c r="E47" s="39">
        <v>1</v>
      </c>
      <c r="F47" s="304"/>
    </row>
    <row r="48" spans="1:6" x14ac:dyDescent="0.2">
      <c r="A48" s="8">
        <v>47</v>
      </c>
      <c r="B48" s="9" t="s">
        <v>541</v>
      </c>
      <c r="C48" s="17" t="s">
        <v>542</v>
      </c>
      <c r="D48" s="68">
        <v>46123</v>
      </c>
      <c r="E48" s="45">
        <v>3</v>
      </c>
      <c r="F48" s="304"/>
    </row>
    <row r="49" spans="1:8" x14ac:dyDescent="0.2">
      <c r="A49" s="8">
        <v>48</v>
      </c>
      <c r="B49" s="9" t="s">
        <v>544</v>
      </c>
      <c r="C49" s="17" t="s">
        <v>543</v>
      </c>
      <c r="D49" s="68">
        <v>46123</v>
      </c>
      <c r="E49" s="45">
        <v>3</v>
      </c>
      <c r="F49" s="304"/>
    </row>
    <row r="50" spans="1:8" x14ac:dyDescent="0.2">
      <c r="A50" s="8">
        <v>49</v>
      </c>
      <c r="B50" s="9" t="s">
        <v>583</v>
      </c>
      <c r="C50" s="17" t="s">
        <v>584</v>
      </c>
      <c r="D50" s="64">
        <v>46126</v>
      </c>
      <c r="E50" s="39">
        <v>1</v>
      </c>
      <c r="F50" s="304"/>
    </row>
    <row r="51" spans="1:8" x14ac:dyDescent="0.2">
      <c r="A51" s="8">
        <v>50</v>
      </c>
      <c r="B51" s="9" t="s">
        <v>581</v>
      </c>
      <c r="C51" s="17" t="s">
        <v>582</v>
      </c>
      <c r="D51" s="64">
        <v>46128</v>
      </c>
      <c r="E51" s="39">
        <v>1</v>
      </c>
      <c r="F51" s="304"/>
    </row>
    <row r="52" spans="1:8" x14ac:dyDescent="0.2">
      <c r="A52" s="8">
        <v>51</v>
      </c>
      <c r="B52" s="9" t="s">
        <v>571</v>
      </c>
      <c r="C52" s="17">
        <v>1730</v>
      </c>
      <c r="D52" s="68">
        <v>46128</v>
      </c>
      <c r="E52" s="45">
        <v>2</v>
      </c>
      <c r="F52" s="304"/>
    </row>
    <row r="53" spans="1:8" x14ac:dyDescent="0.2">
      <c r="A53" s="8">
        <v>51</v>
      </c>
      <c r="B53" s="9" t="s">
        <v>328</v>
      </c>
      <c r="C53" s="17" t="s">
        <v>598</v>
      </c>
      <c r="D53" s="64">
        <v>46133</v>
      </c>
      <c r="E53" s="39">
        <v>1</v>
      </c>
      <c r="F53" s="304"/>
    </row>
    <row r="54" spans="1:8" x14ac:dyDescent="0.2">
      <c r="A54" s="8">
        <v>51</v>
      </c>
      <c r="B54" s="9" t="s">
        <v>354</v>
      </c>
      <c r="C54" s="17" t="s">
        <v>609</v>
      </c>
      <c r="D54" s="64">
        <v>46139</v>
      </c>
      <c r="E54" s="17">
        <v>1</v>
      </c>
      <c r="F54" s="304"/>
    </row>
    <row r="55" spans="1:8" x14ac:dyDescent="0.2">
      <c r="A55" s="8">
        <v>51</v>
      </c>
      <c r="B55" s="9" t="s">
        <v>616</v>
      </c>
      <c r="C55" s="17" t="s">
        <v>617</v>
      </c>
      <c r="D55" s="64">
        <v>46140</v>
      </c>
      <c r="E55" s="39">
        <v>1</v>
      </c>
      <c r="F55" s="304"/>
    </row>
    <row r="56" spans="1:8" x14ac:dyDescent="0.2">
      <c r="A56" s="8">
        <v>51</v>
      </c>
      <c r="B56" s="9" t="s">
        <v>322</v>
      </c>
      <c r="C56" s="17" t="s">
        <v>550</v>
      </c>
      <c r="D56" s="64">
        <v>46156</v>
      </c>
      <c r="E56" s="39">
        <v>1</v>
      </c>
      <c r="F56" s="304"/>
    </row>
    <row r="57" spans="1:8" x14ac:dyDescent="0.2">
      <c r="A57" s="8">
        <v>51</v>
      </c>
      <c r="B57" s="9" t="s">
        <v>398</v>
      </c>
      <c r="C57" s="17">
        <v>1030</v>
      </c>
      <c r="D57" s="64">
        <v>46154</v>
      </c>
      <c r="E57" s="39">
        <v>1</v>
      </c>
      <c r="F57" s="304"/>
    </row>
    <row r="58" spans="1:8" x14ac:dyDescent="0.2">
      <c r="A58" s="8">
        <v>51</v>
      </c>
      <c r="B58" s="9" t="s">
        <v>270</v>
      </c>
      <c r="C58" s="17" t="s">
        <v>625</v>
      </c>
      <c r="D58" s="64">
        <v>46155</v>
      </c>
      <c r="E58" s="39">
        <v>1</v>
      </c>
      <c r="F58" s="304"/>
    </row>
    <row r="59" spans="1:8" ht="17" thickBot="1" x14ac:dyDescent="0.25">
      <c r="A59" s="8">
        <v>51</v>
      </c>
      <c r="B59" s="9" t="s">
        <v>322</v>
      </c>
      <c r="C59" s="17" t="s">
        <v>526</v>
      </c>
      <c r="D59" s="64">
        <v>46156</v>
      </c>
      <c r="E59" s="39">
        <v>1</v>
      </c>
      <c r="F59" s="304"/>
    </row>
    <row r="60" spans="1:8" x14ac:dyDescent="0.2">
      <c r="A60" s="8">
        <v>51</v>
      </c>
      <c r="B60" s="9"/>
      <c r="C60" s="17"/>
      <c r="D60" s="64"/>
      <c r="E60" s="39"/>
      <c r="F60" s="304"/>
      <c r="H60" s="322" t="s">
        <v>662</v>
      </c>
    </row>
    <row r="61" spans="1:8" ht="17" thickBot="1" x14ac:dyDescent="0.25">
      <c r="A61" s="8">
        <v>51</v>
      </c>
      <c r="B61" s="9" t="s">
        <v>322</v>
      </c>
      <c r="C61" s="17" t="s">
        <v>606</v>
      </c>
      <c r="D61" s="64">
        <v>46174</v>
      </c>
      <c r="E61" s="39">
        <v>1</v>
      </c>
      <c r="F61" s="304"/>
      <c r="H61" s="323">
        <f>SUM(E61:E78)</f>
        <v>24</v>
      </c>
    </row>
    <row r="62" spans="1:8" x14ac:dyDescent="0.2">
      <c r="A62" s="8">
        <v>51</v>
      </c>
      <c r="B62" s="9" t="s">
        <v>653</v>
      </c>
      <c r="C62" s="17" t="s">
        <v>654</v>
      </c>
      <c r="D62" s="64">
        <v>46174</v>
      </c>
      <c r="E62" s="39">
        <v>1</v>
      </c>
      <c r="F62" s="304"/>
    </row>
    <row r="63" spans="1:8" x14ac:dyDescent="0.2">
      <c r="A63" s="8">
        <v>51</v>
      </c>
      <c r="B63" s="9" t="s">
        <v>402</v>
      </c>
      <c r="C63" s="17" t="s">
        <v>622</v>
      </c>
      <c r="D63" s="64">
        <v>46174</v>
      </c>
      <c r="E63" s="39">
        <v>1</v>
      </c>
      <c r="F63" s="304"/>
    </row>
    <row r="64" spans="1:8" x14ac:dyDescent="0.2">
      <c r="A64" s="8">
        <v>51</v>
      </c>
      <c r="B64" s="9" t="s">
        <v>322</v>
      </c>
      <c r="C64" s="17" t="s">
        <v>606</v>
      </c>
      <c r="D64" s="64">
        <v>46175</v>
      </c>
      <c r="E64" s="39">
        <v>1</v>
      </c>
      <c r="F64" s="304"/>
    </row>
    <row r="65" spans="1:6" x14ac:dyDescent="0.2">
      <c r="A65" s="8">
        <v>51</v>
      </c>
      <c r="B65" s="9" t="s">
        <v>354</v>
      </c>
      <c r="C65" s="17" t="s">
        <v>654</v>
      </c>
      <c r="D65" s="64">
        <v>46175</v>
      </c>
      <c r="E65" s="39">
        <v>1</v>
      </c>
      <c r="F65" s="304"/>
    </row>
    <row r="66" spans="1:6" x14ac:dyDescent="0.2">
      <c r="A66" s="8">
        <v>51</v>
      </c>
      <c r="B66" s="9" t="s">
        <v>655</v>
      </c>
      <c r="C66" s="17" t="s">
        <v>606</v>
      </c>
      <c r="D66" s="64">
        <v>46176</v>
      </c>
      <c r="E66" s="39">
        <v>1</v>
      </c>
      <c r="F66" s="304"/>
    </row>
    <row r="67" spans="1:6" x14ac:dyDescent="0.2">
      <c r="A67" s="8">
        <v>51</v>
      </c>
      <c r="B67" s="9" t="s">
        <v>655</v>
      </c>
      <c r="C67" s="222" t="s">
        <v>622</v>
      </c>
      <c r="D67" s="64">
        <v>46176</v>
      </c>
      <c r="E67" s="39">
        <v>1</v>
      </c>
      <c r="F67" s="304"/>
    </row>
    <row r="68" spans="1:6" x14ac:dyDescent="0.2">
      <c r="A68" s="8">
        <v>51</v>
      </c>
      <c r="B68" s="9" t="s">
        <v>339</v>
      </c>
      <c r="C68" s="17" t="s">
        <v>654</v>
      </c>
      <c r="D68" s="64">
        <v>46177</v>
      </c>
      <c r="E68" s="211">
        <v>1</v>
      </c>
      <c r="F68" s="304"/>
    </row>
    <row r="69" spans="1:6" x14ac:dyDescent="0.2">
      <c r="A69" s="8">
        <v>51</v>
      </c>
      <c r="B69" s="28" t="s">
        <v>620</v>
      </c>
      <c r="C69" s="17" t="s">
        <v>606</v>
      </c>
      <c r="D69" s="64">
        <v>46178</v>
      </c>
      <c r="E69" s="39">
        <v>2</v>
      </c>
      <c r="F69" s="304"/>
    </row>
    <row r="70" spans="1:6" x14ac:dyDescent="0.2">
      <c r="A70" s="8">
        <v>51</v>
      </c>
      <c r="B70" s="9" t="s">
        <v>311</v>
      </c>
      <c r="C70" s="17" t="s">
        <v>606</v>
      </c>
      <c r="D70" s="68">
        <v>46180</v>
      </c>
      <c r="E70" s="45">
        <v>2</v>
      </c>
      <c r="F70" s="304"/>
    </row>
    <row r="71" spans="1:6" x14ac:dyDescent="0.2">
      <c r="A71" s="8">
        <v>51</v>
      </c>
      <c r="B71" s="9" t="s">
        <v>322</v>
      </c>
      <c r="C71" s="17" t="s">
        <v>622</v>
      </c>
      <c r="D71" s="68">
        <v>46180</v>
      </c>
      <c r="E71" s="45">
        <v>2</v>
      </c>
      <c r="F71" s="304"/>
    </row>
    <row r="72" spans="1:6" x14ac:dyDescent="0.2">
      <c r="A72" s="8">
        <v>51</v>
      </c>
      <c r="B72" s="9" t="s">
        <v>402</v>
      </c>
      <c r="C72" s="17" t="s">
        <v>397</v>
      </c>
      <c r="D72" s="64">
        <v>46181</v>
      </c>
      <c r="E72" s="39">
        <v>1</v>
      </c>
      <c r="F72" s="304"/>
    </row>
    <row r="73" spans="1:6" x14ac:dyDescent="0.2">
      <c r="A73" s="8">
        <v>51</v>
      </c>
      <c r="B73" s="9" t="s">
        <v>409</v>
      </c>
      <c r="C73" s="17" t="s">
        <v>399</v>
      </c>
      <c r="D73" s="64">
        <v>46181</v>
      </c>
      <c r="E73" s="39">
        <v>1</v>
      </c>
      <c r="F73" s="304"/>
    </row>
    <row r="74" spans="1:6" x14ac:dyDescent="0.2">
      <c r="A74" s="8">
        <v>51</v>
      </c>
      <c r="B74" s="28" t="s">
        <v>619</v>
      </c>
      <c r="C74" s="17" t="s">
        <v>606</v>
      </c>
      <c r="D74" s="64">
        <v>46183</v>
      </c>
      <c r="E74" s="211">
        <v>2</v>
      </c>
      <c r="F74" s="304"/>
    </row>
    <row r="75" spans="1:6" x14ac:dyDescent="0.2">
      <c r="A75" s="8">
        <v>51</v>
      </c>
      <c r="B75" s="9" t="s">
        <v>354</v>
      </c>
      <c r="C75" s="17" t="s">
        <v>606</v>
      </c>
      <c r="D75" s="64">
        <v>46184</v>
      </c>
      <c r="E75" s="211">
        <v>1</v>
      </c>
      <c r="F75" s="304"/>
    </row>
    <row r="76" spans="1:6" x14ac:dyDescent="0.2">
      <c r="A76" s="8">
        <v>51</v>
      </c>
      <c r="B76" s="9" t="s">
        <v>551</v>
      </c>
      <c r="C76" s="17" t="s">
        <v>606</v>
      </c>
      <c r="D76" s="64">
        <v>46185</v>
      </c>
      <c r="E76" s="39">
        <v>1</v>
      </c>
      <c r="F76" s="304"/>
    </row>
    <row r="77" spans="1:6" x14ac:dyDescent="0.2">
      <c r="A77" s="8">
        <v>51</v>
      </c>
      <c r="B77" s="9" t="s">
        <v>657</v>
      </c>
      <c r="C77" s="17" t="s">
        <v>606</v>
      </c>
      <c r="D77" s="68">
        <v>46186</v>
      </c>
      <c r="E77" s="45">
        <v>2</v>
      </c>
      <c r="F77" s="304"/>
    </row>
    <row r="78" spans="1:6" x14ac:dyDescent="0.2">
      <c r="A78" s="8">
        <v>51</v>
      </c>
      <c r="B78" s="9" t="s">
        <v>400</v>
      </c>
      <c r="C78" s="17" t="s">
        <v>399</v>
      </c>
      <c r="D78" s="68">
        <v>46186</v>
      </c>
      <c r="E78" s="45">
        <v>2</v>
      </c>
      <c r="F78" s="304"/>
    </row>
    <row r="79" spans="1:6" x14ac:dyDescent="0.2">
      <c r="A79" s="8">
        <v>51</v>
      </c>
      <c r="B79" s="28"/>
      <c r="C79" s="17"/>
      <c r="D79" s="64"/>
      <c r="E79" s="39"/>
      <c r="F79" s="304"/>
    </row>
    <row r="80" spans="1:6" x14ac:dyDescent="0.2">
      <c r="A80" s="8">
        <v>51</v>
      </c>
      <c r="B80" s="28"/>
      <c r="C80" s="17"/>
      <c r="D80" s="64"/>
      <c r="E80" s="211"/>
      <c r="F80" s="304"/>
    </row>
    <row r="81" spans="1:6" x14ac:dyDescent="0.2">
      <c r="A81" s="8">
        <v>51</v>
      </c>
      <c r="B81" s="9"/>
      <c r="C81" s="17"/>
      <c r="D81" s="64"/>
      <c r="E81" s="39"/>
      <c r="F81" s="304"/>
    </row>
    <row r="82" spans="1:6" x14ac:dyDescent="0.2">
      <c r="A82" s="8">
        <v>51</v>
      </c>
      <c r="B82" s="9"/>
      <c r="C82" s="17"/>
      <c r="D82" s="64"/>
      <c r="E82" s="39"/>
      <c r="F82" s="304"/>
    </row>
    <row r="83" spans="1:6" x14ac:dyDescent="0.2">
      <c r="A83" s="8">
        <v>51</v>
      </c>
      <c r="B83" s="9"/>
      <c r="C83" s="17"/>
      <c r="D83" s="64"/>
      <c r="E83" s="39"/>
      <c r="F83" s="304"/>
    </row>
    <row r="84" spans="1:6" x14ac:dyDescent="0.2">
      <c r="A84" s="8">
        <v>51</v>
      </c>
      <c r="B84" s="9"/>
      <c r="C84" s="17"/>
      <c r="D84" s="64"/>
      <c r="E84" s="39"/>
      <c r="F84" s="304"/>
    </row>
    <row r="85" spans="1:6" x14ac:dyDescent="0.2">
      <c r="A85" s="8">
        <v>51</v>
      </c>
      <c r="B85" s="9"/>
      <c r="C85" s="17"/>
      <c r="D85" s="64"/>
      <c r="E85" s="39"/>
    </row>
    <row r="86" spans="1:6" x14ac:dyDescent="0.2">
      <c r="A86" s="8">
        <v>51</v>
      </c>
      <c r="B86" s="46"/>
      <c r="C86" s="17"/>
      <c r="D86" s="64"/>
      <c r="E86" s="39"/>
    </row>
    <row r="87" spans="1:6" x14ac:dyDescent="0.2">
      <c r="A87" s="8">
        <v>51</v>
      </c>
      <c r="B87" s="9"/>
      <c r="C87" s="17"/>
      <c r="D87" s="64"/>
      <c r="E87" s="39"/>
    </row>
    <row r="88" spans="1:6" ht="17" thickBot="1" x14ac:dyDescent="0.25"/>
    <row r="89" spans="1:6" ht="17" thickBot="1" x14ac:dyDescent="0.25">
      <c r="A89" s="309" t="s">
        <v>92</v>
      </c>
      <c r="B89" s="310"/>
      <c r="C89" s="310"/>
      <c r="D89" s="310"/>
      <c r="E89" s="71">
        <f>SUM(E2:E87)</f>
        <v>174</v>
      </c>
    </row>
  </sheetData>
  <mergeCells count="4">
    <mergeCell ref="A89:D89"/>
    <mergeCell ref="I1:J1"/>
    <mergeCell ref="F2:F9"/>
    <mergeCell ref="F10:F84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8319B-ADFD-834F-8165-ABBB7B4BE502}">
  <dimension ref="A1:L56"/>
  <sheetViews>
    <sheetView topLeftCell="A28" zoomScale="150" zoomScaleNormal="100" workbookViewId="0">
      <selection activeCell="I42" sqref="I42"/>
    </sheetView>
  </sheetViews>
  <sheetFormatPr baseColWidth="10" defaultRowHeight="16" x14ac:dyDescent="0.2"/>
  <cols>
    <col min="1" max="1" width="7.33203125" style="7" customWidth="1"/>
    <col min="2" max="2" width="40.5" style="7" bestFit="1" customWidth="1"/>
    <col min="3" max="3" width="12.33203125" style="47" customWidth="1"/>
    <col min="4" max="4" width="23.5" style="7" customWidth="1"/>
    <col min="5" max="5" width="10.83203125" style="40"/>
    <col min="6" max="8" width="10.83203125" style="7"/>
    <col min="9" max="9" width="12.33203125" style="7" customWidth="1"/>
    <col min="10" max="10" width="46.83203125" style="7" customWidth="1"/>
    <col min="11" max="11" width="10.83203125" style="7"/>
    <col min="12" max="12" width="12.1640625" style="7" customWidth="1"/>
    <col min="13" max="16384" width="10.83203125" style="7"/>
  </cols>
  <sheetData>
    <row r="1" spans="1:12" s="36" customFormat="1" x14ac:dyDescent="0.2">
      <c r="A1" s="8" t="s">
        <v>13</v>
      </c>
      <c r="B1" s="18" t="s">
        <v>14</v>
      </c>
      <c r="C1" s="18" t="s">
        <v>1</v>
      </c>
      <c r="D1" s="18" t="s">
        <v>0</v>
      </c>
      <c r="E1" s="18" t="s">
        <v>15</v>
      </c>
      <c r="I1" s="311" t="s">
        <v>496</v>
      </c>
      <c r="J1" s="312"/>
      <c r="K1" s="312"/>
      <c r="L1" s="313"/>
    </row>
    <row r="2" spans="1:12" ht="17" thickBot="1" x14ac:dyDescent="0.25">
      <c r="A2" s="124">
        <v>1</v>
      </c>
      <c r="B2" s="118" t="s">
        <v>129</v>
      </c>
      <c r="C2" s="136" t="s">
        <v>100</v>
      </c>
      <c r="D2" s="120">
        <v>45865</v>
      </c>
      <c r="E2" s="121">
        <v>10</v>
      </c>
      <c r="I2" s="10" t="s">
        <v>18</v>
      </c>
      <c r="J2" s="8" t="s">
        <v>21</v>
      </c>
      <c r="K2" s="8" t="s">
        <v>22</v>
      </c>
      <c r="L2" s="11" t="s">
        <v>12</v>
      </c>
    </row>
    <row r="3" spans="1:12" ht="17" thickTop="1" x14ac:dyDescent="0.2">
      <c r="A3" s="122">
        <v>2</v>
      </c>
      <c r="B3" s="142" t="s">
        <v>244</v>
      </c>
      <c r="C3" s="224" t="s">
        <v>241</v>
      </c>
      <c r="D3" s="144" t="s">
        <v>135</v>
      </c>
      <c r="E3" s="143">
        <v>80</v>
      </c>
      <c r="I3" s="12" t="s">
        <v>30</v>
      </c>
      <c r="J3" s="9" t="s">
        <v>28</v>
      </c>
      <c r="K3" s="9" t="s">
        <v>26</v>
      </c>
      <c r="L3" s="13" t="s">
        <v>29</v>
      </c>
    </row>
    <row r="4" spans="1:12" x14ac:dyDescent="0.2">
      <c r="A4" s="8">
        <v>3</v>
      </c>
      <c r="B4" s="9" t="s">
        <v>132</v>
      </c>
      <c r="C4" s="17" t="s">
        <v>105</v>
      </c>
      <c r="D4" s="51">
        <v>45951</v>
      </c>
      <c r="E4" s="39">
        <v>2</v>
      </c>
      <c r="H4" s="7" t="s">
        <v>243</v>
      </c>
      <c r="I4" s="92" t="s">
        <v>27</v>
      </c>
      <c r="J4" s="93" t="s">
        <v>25</v>
      </c>
      <c r="K4" s="93" t="s">
        <v>26</v>
      </c>
      <c r="L4" s="94" t="s">
        <v>23</v>
      </c>
    </row>
    <row r="5" spans="1:12" x14ac:dyDescent="0.2">
      <c r="A5" s="8">
        <v>4</v>
      </c>
      <c r="B5" s="9" t="s">
        <v>174</v>
      </c>
      <c r="C5" s="17" t="s">
        <v>175</v>
      </c>
      <c r="D5" s="51">
        <v>45952</v>
      </c>
      <c r="E5" s="39">
        <v>1</v>
      </c>
      <c r="I5" s="12" t="s">
        <v>32</v>
      </c>
      <c r="J5" s="9" t="s">
        <v>31</v>
      </c>
      <c r="K5" s="9" t="s">
        <v>20</v>
      </c>
      <c r="L5" s="13" t="s">
        <v>29</v>
      </c>
    </row>
    <row r="6" spans="1:12" x14ac:dyDescent="0.2">
      <c r="A6" s="8">
        <v>5</v>
      </c>
      <c r="B6" s="9" t="s">
        <v>193</v>
      </c>
      <c r="C6" s="17" t="s">
        <v>100</v>
      </c>
      <c r="D6" s="51"/>
      <c r="E6" s="39">
        <v>4</v>
      </c>
      <c r="I6" s="12" t="s">
        <v>19</v>
      </c>
      <c r="J6" s="9" t="s">
        <v>17</v>
      </c>
      <c r="K6" s="9" t="s">
        <v>20</v>
      </c>
      <c r="L6" s="13" t="s">
        <v>23</v>
      </c>
    </row>
    <row r="7" spans="1:12" ht="17" thickBot="1" x14ac:dyDescent="0.25">
      <c r="A7" s="48">
        <v>6</v>
      </c>
      <c r="B7" s="79" t="s">
        <v>205</v>
      </c>
      <c r="C7" s="17" t="s">
        <v>100</v>
      </c>
      <c r="D7" s="51">
        <v>45964</v>
      </c>
      <c r="E7" s="39">
        <v>20</v>
      </c>
      <c r="I7" s="14" t="s">
        <v>19</v>
      </c>
      <c r="J7" s="15" t="s">
        <v>17</v>
      </c>
      <c r="K7" s="15" t="s">
        <v>20</v>
      </c>
      <c r="L7" s="16" t="s">
        <v>24</v>
      </c>
    </row>
    <row r="8" spans="1:12" x14ac:dyDescent="0.2">
      <c r="A8" s="8">
        <v>7</v>
      </c>
      <c r="B8" s="9" t="s">
        <v>203</v>
      </c>
      <c r="C8" s="17" t="s">
        <v>104</v>
      </c>
      <c r="D8" s="87">
        <v>45983</v>
      </c>
      <c r="E8" s="45">
        <v>3</v>
      </c>
    </row>
    <row r="9" spans="1:12" x14ac:dyDescent="0.2">
      <c r="A9" s="8">
        <v>8</v>
      </c>
      <c r="B9" s="9" t="s">
        <v>261</v>
      </c>
      <c r="C9" s="3" t="s">
        <v>104</v>
      </c>
      <c r="D9" s="42">
        <v>45990</v>
      </c>
      <c r="E9" s="43">
        <v>3</v>
      </c>
      <c r="J9" s="7" t="s">
        <v>94</v>
      </c>
    </row>
    <row r="10" spans="1:12" x14ac:dyDescent="0.2">
      <c r="A10" s="8">
        <v>9</v>
      </c>
      <c r="B10" s="91" t="s">
        <v>206</v>
      </c>
      <c r="C10" s="222" t="s">
        <v>104</v>
      </c>
      <c r="D10" s="146">
        <v>45991</v>
      </c>
      <c r="E10" s="147">
        <v>3</v>
      </c>
    </row>
    <row r="11" spans="1:12" x14ac:dyDescent="0.2">
      <c r="A11" s="48">
        <v>10</v>
      </c>
      <c r="B11" s="188" t="s">
        <v>61</v>
      </c>
      <c r="C11" s="225" t="s">
        <v>107</v>
      </c>
      <c r="D11" s="162">
        <v>45995</v>
      </c>
      <c r="E11" s="149">
        <v>1</v>
      </c>
      <c r="I11" s="7" t="s">
        <v>184</v>
      </c>
      <c r="J11" s="305" t="s">
        <v>434</v>
      </c>
      <c r="K11" s="305"/>
      <c r="L11" s="305"/>
    </row>
    <row r="12" spans="1:12" x14ac:dyDescent="0.2">
      <c r="A12" s="8">
        <v>11</v>
      </c>
      <c r="B12" s="9" t="s">
        <v>339</v>
      </c>
      <c r="C12" s="17" t="s">
        <v>405</v>
      </c>
      <c r="D12" s="108">
        <v>45687</v>
      </c>
      <c r="E12" s="45">
        <v>2</v>
      </c>
    </row>
    <row r="13" spans="1:12" ht="17" thickBot="1" x14ac:dyDescent="0.25">
      <c r="A13" s="8">
        <v>12</v>
      </c>
      <c r="B13" s="231" t="s">
        <v>454</v>
      </c>
      <c r="C13" s="232" t="s">
        <v>397</v>
      </c>
      <c r="D13" s="233">
        <v>46027</v>
      </c>
      <c r="E13" s="234">
        <v>1</v>
      </c>
    </row>
    <row r="14" spans="1:12" x14ac:dyDescent="0.2">
      <c r="A14" s="8">
        <v>13</v>
      </c>
      <c r="B14" s="91" t="s">
        <v>398</v>
      </c>
      <c r="C14" s="17" t="s">
        <v>399</v>
      </c>
      <c r="D14" s="64">
        <v>46027</v>
      </c>
      <c r="E14" s="39">
        <v>1</v>
      </c>
      <c r="I14" s="311" t="s">
        <v>497</v>
      </c>
      <c r="J14" s="312"/>
      <c r="K14" s="312"/>
      <c r="L14" s="313"/>
    </row>
    <row r="15" spans="1:12" x14ac:dyDescent="0.2">
      <c r="A15" s="8">
        <v>14</v>
      </c>
      <c r="B15" s="9" t="s">
        <v>402</v>
      </c>
      <c r="C15" s="17" t="s">
        <v>380</v>
      </c>
      <c r="D15" s="64">
        <v>46028</v>
      </c>
      <c r="E15" s="39">
        <v>1</v>
      </c>
      <c r="I15" s="10" t="s">
        <v>18</v>
      </c>
      <c r="J15" s="8" t="s">
        <v>21</v>
      </c>
      <c r="K15" s="8" t="s">
        <v>22</v>
      </c>
      <c r="L15" s="11" t="s">
        <v>12</v>
      </c>
    </row>
    <row r="16" spans="1:12" x14ac:dyDescent="0.2">
      <c r="A16" s="8">
        <v>15</v>
      </c>
      <c r="B16" s="231" t="s">
        <v>454</v>
      </c>
      <c r="C16" s="232" t="s">
        <v>397</v>
      </c>
      <c r="D16" s="233">
        <v>46028</v>
      </c>
      <c r="E16" s="234">
        <v>1</v>
      </c>
      <c r="I16" s="12" t="s">
        <v>499</v>
      </c>
      <c r="J16" s="9" t="s">
        <v>500</v>
      </c>
      <c r="K16" s="9" t="s">
        <v>501</v>
      </c>
      <c r="L16" s="13" t="s">
        <v>498</v>
      </c>
    </row>
    <row r="17" spans="1:12" x14ac:dyDescent="0.2">
      <c r="A17" s="8">
        <v>16</v>
      </c>
      <c r="B17" s="9" t="s">
        <v>339</v>
      </c>
      <c r="C17" s="17" t="s">
        <v>399</v>
      </c>
      <c r="D17" s="64">
        <v>46028</v>
      </c>
      <c r="E17" s="39">
        <v>1</v>
      </c>
      <c r="I17" s="243" t="s">
        <v>502</v>
      </c>
      <c r="J17" s="9" t="s">
        <v>503</v>
      </c>
      <c r="K17" s="9" t="s">
        <v>501</v>
      </c>
      <c r="L17" s="13" t="s">
        <v>504</v>
      </c>
    </row>
    <row r="18" spans="1:12" x14ac:dyDescent="0.2">
      <c r="A18" s="8">
        <v>17</v>
      </c>
      <c r="B18" s="46" t="s">
        <v>408</v>
      </c>
      <c r="C18" s="39" t="s">
        <v>397</v>
      </c>
      <c r="D18" s="64">
        <v>46034</v>
      </c>
      <c r="E18" s="39">
        <v>2</v>
      </c>
      <c r="I18" s="243" t="s">
        <v>502</v>
      </c>
      <c r="J18" s="9" t="s">
        <v>503</v>
      </c>
      <c r="K18" s="9" t="s">
        <v>26</v>
      </c>
      <c r="L18" s="13" t="s">
        <v>506</v>
      </c>
    </row>
    <row r="19" spans="1:12" x14ac:dyDescent="0.2">
      <c r="A19" s="8">
        <v>18</v>
      </c>
      <c r="B19" s="9" t="s">
        <v>409</v>
      </c>
      <c r="C19" s="17" t="s">
        <v>399</v>
      </c>
      <c r="D19" s="64">
        <v>46034</v>
      </c>
      <c r="E19" s="39">
        <v>1</v>
      </c>
      <c r="I19" s="243" t="s">
        <v>502</v>
      </c>
      <c r="J19" s="9" t="s">
        <v>503</v>
      </c>
      <c r="K19" s="9" t="s">
        <v>26</v>
      </c>
      <c r="L19" s="13" t="s">
        <v>505</v>
      </c>
    </row>
    <row r="20" spans="1:12" ht="17" thickBot="1" x14ac:dyDescent="0.25">
      <c r="A20" s="8">
        <v>19</v>
      </c>
      <c r="B20" s="9" t="s">
        <v>403</v>
      </c>
      <c r="C20" s="17" t="s">
        <v>380</v>
      </c>
      <c r="D20" s="64">
        <v>46035</v>
      </c>
      <c r="E20" s="39">
        <v>2</v>
      </c>
      <c r="I20" s="14"/>
      <c r="J20" s="15"/>
      <c r="K20" s="15"/>
      <c r="L20" s="16"/>
    </row>
    <row r="21" spans="1:12" x14ac:dyDescent="0.2">
      <c r="A21" s="8">
        <v>20</v>
      </c>
      <c r="B21" s="46" t="s">
        <v>416</v>
      </c>
      <c r="C21" s="39" t="s">
        <v>397</v>
      </c>
      <c r="D21" s="64">
        <v>46036</v>
      </c>
      <c r="E21" s="17">
        <v>1</v>
      </c>
    </row>
    <row r="22" spans="1:12" x14ac:dyDescent="0.2">
      <c r="A22" s="8">
        <v>21</v>
      </c>
      <c r="B22" s="9" t="s">
        <v>401</v>
      </c>
      <c r="C22" s="17" t="s">
        <v>399</v>
      </c>
      <c r="D22" s="64">
        <v>46038</v>
      </c>
      <c r="E22" s="39">
        <v>1</v>
      </c>
    </row>
    <row r="23" spans="1:12" x14ac:dyDescent="0.2">
      <c r="A23" s="8">
        <v>22</v>
      </c>
      <c r="B23" s="9" t="s">
        <v>410</v>
      </c>
      <c r="C23" s="17" t="s">
        <v>399</v>
      </c>
      <c r="D23" s="68">
        <v>46039</v>
      </c>
      <c r="E23" s="45">
        <v>2</v>
      </c>
      <c r="J23" s="7" t="s">
        <v>533</v>
      </c>
    </row>
    <row r="24" spans="1:12" x14ac:dyDescent="0.2">
      <c r="A24" s="8">
        <v>23</v>
      </c>
      <c r="B24" s="91" t="s">
        <v>418</v>
      </c>
      <c r="C24" s="17" t="s">
        <v>380</v>
      </c>
      <c r="D24" s="108">
        <v>46040</v>
      </c>
      <c r="E24" s="45">
        <v>2</v>
      </c>
      <c r="J24" s="7" t="s">
        <v>536</v>
      </c>
    </row>
    <row r="25" spans="1:12" x14ac:dyDescent="0.2">
      <c r="A25" s="8">
        <v>24</v>
      </c>
      <c r="B25" s="91" t="s">
        <v>404</v>
      </c>
      <c r="C25" s="222" t="s">
        <v>399</v>
      </c>
      <c r="D25" s="227">
        <v>46040</v>
      </c>
      <c r="E25" s="147">
        <v>2</v>
      </c>
      <c r="J25" s="7" t="s">
        <v>537</v>
      </c>
    </row>
    <row r="26" spans="1:12" x14ac:dyDescent="0.2">
      <c r="A26" s="8">
        <v>25</v>
      </c>
      <c r="B26" s="46" t="s">
        <v>61</v>
      </c>
      <c r="C26" s="17" t="s">
        <v>453</v>
      </c>
      <c r="D26" s="51">
        <v>46042</v>
      </c>
      <c r="E26" s="39">
        <v>1</v>
      </c>
    </row>
    <row r="27" spans="1:12" x14ac:dyDescent="0.2">
      <c r="A27" s="8">
        <v>26</v>
      </c>
      <c r="B27" s="142" t="s">
        <v>244</v>
      </c>
      <c r="C27" s="224" t="s">
        <v>241</v>
      </c>
      <c r="D27" s="144" t="s">
        <v>495</v>
      </c>
      <c r="E27" s="143">
        <v>80</v>
      </c>
    </row>
    <row r="28" spans="1:12" x14ac:dyDescent="0.2">
      <c r="A28" s="8">
        <v>27</v>
      </c>
      <c r="B28" s="9" t="s">
        <v>132</v>
      </c>
      <c r="C28" s="39" t="s">
        <v>343</v>
      </c>
      <c r="D28" s="64">
        <v>46071</v>
      </c>
      <c r="E28" s="39">
        <v>1</v>
      </c>
      <c r="I28" s="264" t="s">
        <v>184</v>
      </c>
      <c r="J28" s="315" t="s">
        <v>577</v>
      </c>
      <c r="K28" s="315"/>
      <c r="L28" s="315"/>
    </row>
    <row r="29" spans="1:12" x14ac:dyDescent="0.2">
      <c r="A29" s="8">
        <v>28</v>
      </c>
      <c r="B29" s="9" t="s">
        <v>531</v>
      </c>
      <c r="C29" s="17"/>
      <c r="D29" s="64">
        <v>46072</v>
      </c>
      <c r="E29" s="39">
        <v>1</v>
      </c>
      <c r="I29" s="261" t="s">
        <v>184</v>
      </c>
      <c r="J29" s="314" t="s">
        <v>592</v>
      </c>
      <c r="K29" s="315"/>
      <c r="L29" s="315"/>
    </row>
    <row r="30" spans="1:12" x14ac:dyDescent="0.2">
      <c r="A30" s="8">
        <v>29</v>
      </c>
      <c r="B30" s="9" t="s">
        <v>534</v>
      </c>
      <c r="C30" s="17" t="s">
        <v>100</v>
      </c>
      <c r="D30" s="64">
        <v>46082</v>
      </c>
      <c r="E30" s="39">
        <v>3</v>
      </c>
    </row>
    <row r="31" spans="1:12" x14ac:dyDescent="0.2">
      <c r="A31" s="8">
        <v>30</v>
      </c>
      <c r="B31" s="9" t="s">
        <v>132</v>
      </c>
      <c r="C31" s="39" t="s">
        <v>526</v>
      </c>
      <c r="D31" s="64">
        <v>46087</v>
      </c>
      <c r="E31" s="39">
        <v>2</v>
      </c>
    </row>
    <row r="32" spans="1:12" x14ac:dyDescent="0.2">
      <c r="A32" s="8">
        <v>31</v>
      </c>
      <c r="B32" s="9" t="s">
        <v>532</v>
      </c>
      <c r="C32" s="17" t="s">
        <v>100</v>
      </c>
      <c r="D32" s="51">
        <v>46087</v>
      </c>
      <c r="E32" s="39">
        <v>4</v>
      </c>
    </row>
    <row r="33" spans="1:7" x14ac:dyDescent="0.2">
      <c r="A33" s="8">
        <v>32</v>
      </c>
      <c r="B33" s="9" t="s">
        <v>516</v>
      </c>
      <c r="C33" s="39" t="s">
        <v>576</v>
      </c>
      <c r="D33" s="64">
        <v>46121</v>
      </c>
      <c r="E33" s="39">
        <v>1</v>
      </c>
    </row>
    <row r="34" spans="1:7" x14ac:dyDescent="0.2">
      <c r="A34" s="8">
        <v>33</v>
      </c>
      <c r="B34" s="9" t="s">
        <v>516</v>
      </c>
      <c r="C34" s="39" t="s">
        <v>596</v>
      </c>
      <c r="D34" s="123">
        <v>46128</v>
      </c>
      <c r="E34" s="39">
        <v>1</v>
      </c>
    </row>
    <row r="35" spans="1:7" x14ac:dyDescent="0.2">
      <c r="A35" s="8">
        <v>34</v>
      </c>
      <c r="B35" s="93" t="s">
        <v>539</v>
      </c>
      <c r="C35" s="93" t="s">
        <v>540</v>
      </c>
      <c r="D35" s="248">
        <v>46131</v>
      </c>
      <c r="E35" s="249"/>
    </row>
    <row r="36" spans="1:7" x14ac:dyDescent="0.2">
      <c r="A36" s="8">
        <v>35</v>
      </c>
      <c r="B36" s="9"/>
      <c r="C36" s="9"/>
      <c r="D36" s="64"/>
      <c r="E36" s="39"/>
    </row>
    <row r="37" spans="1:7" x14ac:dyDescent="0.2">
      <c r="A37" s="8">
        <v>36</v>
      </c>
      <c r="B37" s="9" t="s">
        <v>322</v>
      </c>
      <c r="C37" s="17" t="s">
        <v>606</v>
      </c>
      <c r="D37" s="64">
        <v>46174</v>
      </c>
      <c r="E37" s="39">
        <v>1</v>
      </c>
    </row>
    <row r="38" spans="1:7" x14ac:dyDescent="0.2">
      <c r="A38" s="8">
        <v>37</v>
      </c>
      <c r="B38" s="9" t="s">
        <v>402</v>
      </c>
      <c r="C38" s="17" t="s">
        <v>622</v>
      </c>
      <c r="D38" s="64">
        <v>46174</v>
      </c>
      <c r="E38" s="39">
        <v>1</v>
      </c>
    </row>
    <row r="39" spans="1:7" x14ac:dyDescent="0.2">
      <c r="A39" s="8">
        <v>38</v>
      </c>
      <c r="B39" s="9" t="s">
        <v>339</v>
      </c>
      <c r="C39" s="17" t="s">
        <v>654</v>
      </c>
      <c r="D39" s="64">
        <v>46177</v>
      </c>
      <c r="E39" s="39">
        <v>1</v>
      </c>
    </row>
    <row r="40" spans="1:7" ht="17" thickBot="1" x14ac:dyDescent="0.25">
      <c r="A40" s="8">
        <v>39</v>
      </c>
      <c r="B40" s="28" t="s">
        <v>620</v>
      </c>
      <c r="C40" s="17" t="s">
        <v>606</v>
      </c>
      <c r="D40" s="64">
        <v>46178</v>
      </c>
      <c r="E40" s="39">
        <v>2</v>
      </c>
    </row>
    <row r="41" spans="1:7" x14ac:dyDescent="0.2">
      <c r="A41" s="8">
        <v>40</v>
      </c>
      <c r="B41" s="9" t="s">
        <v>311</v>
      </c>
      <c r="C41" s="17" t="s">
        <v>606</v>
      </c>
      <c r="D41" s="68">
        <v>46180</v>
      </c>
      <c r="E41" s="45">
        <v>2</v>
      </c>
      <c r="G41" s="320" t="s">
        <v>662</v>
      </c>
    </row>
    <row r="42" spans="1:7" ht="17" thickBot="1" x14ac:dyDescent="0.25">
      <c r="A42" s="8">
        <v>41</v>
      </c>
      <c r="B42" s="9" t="s">
        <v>322</v>
      </c>
      <c r="C42" s="17" t="s">
        <v>622</v>
      </c>
      <c r="D42" s="68">
        <v>46180</v>
      </c>
      <c r="E42" s="45">
        <v>2</v>
      </c>
      <c r="G42" s="321">
        <f>SUM(E37:E49)</f>
        <v>19</v>
      </c>
    </row>
    <row r="43" spans="1:7" x14ac:dyDescent="0.2">
      <c r="A43" s="8">
        <v>42</v>
      </c>
      <c r="B43" s="9" t="s">
        <v>347</v>
      </c>
      <c r="C43" s="17" t="s">
        <v>606</v>
      </c>
      <c r="D43" s="64">
        <v>46181</v>
      </c>
      <c r="E43" s="39">
        <v>1</v>
      </c>
    </row>
    <row r="44" spans="1:7" x14ac:dyDescent="0.2">
      <c r="A44" s="8">
        <v>43</v>
      </c>
      <c r="B44" s="9" t="s">
        <v>402</v>
      </c>
      <c r="C44" s="17" t="s">
        <v>397</v>
      </c>
      <c r="D44" s="64">
        <v>46181</v>
      </c>
      <c r="E44" s="39">
        <v>1</v>
      </c>
    </row>
    <row r="45" spans="1:7" x14ac:dyDescent="0.2">
      <c r="A45" s="8">
        <v>44</v>
      </c>
      <c r="B45" s="9" t="s">
        <v>409</v>
      </c>
      <c r="C45" s="17" t="s">
        <v>399</v>
      </c>
      <c r="D45" s="64">
        <v>46181</v>
      </c>
      <c r="E45" s="39">
        <v>1</v>
      </c>
    </row>
    <row r="46" spans="1:7" x14ac:dyDescent="0.2">
      <c r="A46" s="8">
        <v>45</v>
      </c>
      <c r="B46" s="46" t="s">
        <v>619</v>
      </c>
      <c r="C46" s="17" t="s">
        <v>606</v>
      </c>
      <c r="D46" s="64">
        <v>46183</v>
      </c>
      <c r="E46" s="39">
        <v>2</v>
      </c>
    </row>
    <row r="47" spans="1:7" x14ac:dyDescent="0.2">
      <c r="A47" s="8">
        <v>46</v>
      </c>
      <c r="B47" s="9" t="s">
        <v>354</v>
      </c>
      <c r="C47" s="17" t="s">
        <v>606</v>
      </c>
      <c r="D47" s="64">
        <v>46184</v>
      </c>
      <c r="E47" s="39">
        <v>1</v>
      </c>
    </row>
    <row r="48" spans="1:7" x14ac:dyDescent="0.2">
      <c r="A48" s="8">
        <v>47</v>
      </c>
      <c r="B48" s="9" t="s">
        <v>657</v>
      </c>
      <c r="C48" s="17" t="s">
        <v>606</v>
      </c>
      <c r="D48" s="68">
        <v>46186</v>
      </c>
      <c r="E48" s="45">
        <v>2</v>
      </c>
    </row>
    <row r="49" spans="1:5" x14ac:dyDescent="0.2">
      <c r="A49" s="8">
        <v>48</v>
      </c>
      <c r="B49" s="9" t="s">
        <v>658</v>
      </c>
      <c r="C49" s="17" t="s">
        <v>399</v>
      </c>
      <c r="D49" s="68">
        <v>46186</v>
      </c>
      <c r="E49" s="45">
        <v>2</v>
      </c>
    </row>
    <row r="50" spans="1:5" x14ac:dyDescent="0.2">
      <c r="A50" s="8">
        <v>49</v>
      </c>
      <c r="B50" s="9"/>
      <c r="C50" s="17"/>
      <c r="D50" s="51"/>
      <c r="E50" s="39"/>
    </row>
    <row r="51" spans="1:5" x14ac:dyDescent="0.2">
      <c r="A51" s="8">
        <v>50</v>
      </c>
      <c r="B51" s="9"/>
      <c r="C51" s="17"/>
      <c r="D51" s="51"/>
      <c r="E51" s="39"/>
    </row>
    <row r="52" spans="1:5" x14ac:dyDescent="0.2">
      <c r="A52" s="8">
        <v>51</v>
      </c>
      <c r="B52" s="9"/>
      <c r="C52" s="17"/>
      <c r="D52" s="51"/>
      <c r="E52" s="39"/>
    </row>
    <row r="53" spans="1:5" x14ac:dyDescent="0.2">
      <c r="A53" s="8">
        <v>52</v>
      </c>
      <c r="B53" s="9"/>
      <c r="C53" s="17"/>
      <c r="D53" s="51"/>
      <c r="E53" s="39"/>
    </row>
    <row r="54" spans="1:5" x14ac:dyDescent="0.2">
      <c r="A54" s="8">
        <v>53</v>
      </c>
      <c r="B54" s="91"/>
      <c r="C54" s="222"/>
      <c r="D54" s="103"/>
      <c r="E54" s="102"/>
    </row>
    <row r="55" spans="1:5" ht="17" thickBot="1" x14ac:dyDescent="0.25">
      <c r="B55" s="104"/>
      <c r="C55" s="220"/>
      <c r="D55" s="104"/>
      <c r="E55" s="105"/>
    </row>
    <row r="56" spans="1:5" ht="17" thickBot="1" x14ac:dyDescent="0.25">
      <c r="A56" s="309" t="s">
        <v>92</v>
      </c>
      <c r="B56" s="310"/>
      <c r="C56" s="310"/>
      <c r="D56" s="310"/>
      <c r="E56" s="71">
        <f>SUM(E2:E54)</f>
        <v>260</v>
      </c>
    </row>
  </sheetData>
  <mergeCells count="6">
    <mergeCell ref="I1:L1"/>
    <mergeCell ref="A56:D56"/>
    <mergeCell ref="J11:L11"/>
    <mergeCell ref="I14:L14"/>
    <mergeCell ref="J29:L29"/>
    <mergeCell ref="J28:L28"/>
  </mergeCells>
  <hyperlinks>
    <hyperlink ref="I6" r:id="rId1" display="https://obs.itu.edu.tr/public/DersBilgi?bransKodu=GMI&amp;dersNo=324" xr:uid="{6B7A3AF0-E880-D34B-B52C-4AC17D40DB53}"/>
    <hyperlink ref="I7" r:id="rId2" display="https://obs.itu.edu.tr/public/DersBilgi?bransKodu=GMI&amp;dersNo=324" xr:uid="{2E17E747-B87C-364F-9112-041874832328}"/>
    <hyperlink ref="I4" r:id="rId3" display="https://obs.itu.edu.tr/public/DersBilgi?bransKodu=GMI&amp;dersNo=324E" xr:uid="{6B5D0D69-C340-B248-B028-D95699F99DE9}"/>
    <hyperlink ref="I3" r:id="rId4" display="https://obs.itu.edu.tr/public/DersBilgi?bransKodu=GMI&amp;dersNo=384E" xr:uid="{68D3E1C4-E29D-4E41-BCBB-8E003DFC41F1}"/>
    <hyperlink ref="I17" r:id="rId5" display="https://obs.itu.edu.tr/public/DersBilgi?bransKodu=GMI&amp;dersNo=324E" xr:uid="{ED13BA5D-C367-A64F-B679-E07378449EAC}"/>
    <hyperlink ref="I16" r:id="rId6" display="https://obs.itu.edu.tr/public/DersBilgi?bransKodu=GMI&amp;dersNo=384E" xr:uid="{64FA0DF1-D611-1D4C-9226-6F943A4D7F56}"/>
    <hyperlink ref="I18" r:id="rId7" display="https://obs.itu.edu.tr/public/DersBilgi?bransKodu=GMI&amp;dersNo=324E" xr:uid="{72499F87-B636-8741-A551-A9951D3318B6}"/>
    <hyperlink ref="I19" r:id="rId8" display="https://obs.itu.edu.tr/public/DersBilgi?bransKodu=GMI&amp;dersNo=324E" xr:uid="{66CF156C-40E8-D04F-A9AD-5F55F1C68C6E}"/>
  </hyperlinks>
  <pageMargins left="0.7" right="0.7" top="0.75" bottom="0.75" header="0.3" footer="0.3"/>
  <legacyDrawing r:id="rId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4C803-B176-894B-829E-95E73191B203}">
  <dimension ref="A1:K83"/>
  <sheetViews>
    <sheetView tabSelected="1" zoomScale="167" zoomScaleNormal="100" workbookViewId="0">
      <selection activeCell="G9" sqref="G9"/>
    </sheetView>
  </sheetViews>
  <sheetFormatPr baseColWidth="10" defaultRowHeight="16" x14ac:dyDescent="0.2"/>
  <cols>
    <col min="1" max="1" width="7.33203125" style="7" customWidth="1"/>
    <col min="2" max="2" width="43.1640625" style="7" bestFit="1" customWidth="1"/>
    <col min="3" max="3" width="12.33203125" style="40" customWidth="1"/>
    <col min="4" max="4" width="25.33203125" style="7" customWidth="1"/>
    <col min="5" max="5" width="9.5" style="40" bestFit="1" customWidth="1"/>
    <col min="6" max="7" width="10.83203125" style="7"/>
    <col min="8" max="8" width="4.83203125" style="7" customWidth="1"/>
    <col min="9" max="9" width="54.83203125" style="7" customWidth="1"/>
    <col min="10" max="10" width="32.83203125" style="7" bestFit="1" customWidth="1"/>
    <col min="11" max="16384" width="10.83203125" style="7"/>
  </cols>
  <sheetData>
    <row r="1" spans="1:9" s="36" customFormat="1" x14ac:dyDescent="0.2">
      <c r="A1" s="8" t="s">
        <v>13</v>
      </c>
      <c r="B1" s="18" t="s">
        <v>14</v>
      </c>
      <c r="C1" s="18" t="s">
        <v>1</v>
      </c>
      <c r="D1" s="18" t="s">
        <v>0</v>
      </c>
      <c r="E1" s="18" t="s">
        <v>15</v>
      </c>
      <c r="H1" s="316"/>
      <c r="I1" s="316"/>
    </row>
    <row r="2" spans="1:9" s="36" customFormat="1" x14ac:dyDescent="0.2">
      <c r="A2" s="8">
        <v>1</v>
      </c>
      <c r="B2" s="9" t="s">
        <v>398</v>
      </c>
      <c r="C2" s="17">
        <v>1030</v>
      </c>
      <c r="D2" s="64">
        <v>46154</v>
      </c>
      <c r="E2" s="39">
        <v>1</v>
      </c>
      <c r="I2" s="36" t="s">
        <v>645</v>
      </c>
    </row>
    <row r="3" spans="1:9" s="36" customFormat="1" x14ac:dyDescent="0.2">
      <c r="A3" s="8">
        <v>2</v>
      </c>
      <c r="B3" s="9" t="s">
        <v>322</v>
      </c>
      <c r="C3" s="17" t="s">
        <v>634</v>
      </c>
      <c r="D3" s="64">
        <v>46156</v>
      </c>
      <c r="E3" s="39">
        <v>1</v>
      </c>
    </row>
    <row r="4" spans="1:9" s="36" customFormat="1" x14ac:dyDescent="0.2">
      <c r="A4" s="8">
        <v>3</v>
      </c>
      <c r="B4" s="9" t="s">
        <v>347</v>
      </c>
      <c r="C4" s="17" t="s">
        <v>527</v>
      </c>
      <c r="D4" s="64">
        <v>46155</v>
      </c>
      <c r="E4" s="39">
        <v>1</v>
      </c>
    </row>
    <row r="5" spans="1:9" ht="16" customHeight="1" x14ac:dyDescent="0.2">
      <c r="A5" s="8">
        <v>4</v>
      </c>
      <c r="B5" s="9" t="s">
        <v>347</v>
      </c>
      <c r="C5" s="17" t="s">
        <v>575</v>
      </c>
      <c r="D5" s="64">
        <v>46155</v>
      </c>
      <c r="E5" s="39">
        <v>1</v>
      </c>
      <c r="H5" s="40"/>
      <c r="I5" s="7" t="s">
        <v>624</v>
      </c>
    </row>
    <row r="6" spans="1:9" ht="16" customHeight="1" x14ac:dyDescent="0.2">
      <c r="A6" s="8">
        <v>5</v>
      </c>
      <c r="B6" s="46" t="s">
        <v>358</v>
      </c>
      <c r="C6" s="39" t="s">
        <v>526</v>
      </c>
      <c r="D6" s="64">
        <v>46162</v>
      </c>
      <c r="E6" s="39">
        <v>4</v>
      </c>
      <c r="H6" s="40"/>
      <c r="I6" s="268" t="s">
        <v>612</v>
      </c>
    </row>
    <row r="7" spans="1:9" ht="16" customHeight="1" x14ac:dyDescent="0.2">
      <c r="A7" s="8">
        <v>6</v>
      </c>
      <c r="B7" s="79" t="s">
        <v>644</v>
      </c>
      <c r="C7" s="17" t="s">
        <v>643</v>
      </c>
      <c r="D7" s="64"/>
      <c r="E7" s="39">
        <v>4</v>
      </c>
      <c r="H7" s="40"/>
    </row>
    <row r="8" spans="1:9" ht="16" customHeight="1" x14ac:dyDescent="0.2">
      <c r="A8" s="8">
        <v>7</v>
      </c>
      <c r="B8" s="79" t="s">
        <v>558</v>
      </c>
      <c r="C8" s="17" t="s">
        <v>643</v>
      </c>
      <c r="D8" s="158"/>
      <c r="E8" s="102">
        <v>4</v>
      </c>
      <c r="H8" s="40"/>
    </row>
    <row r="9" spans="1:9" ht="16" customHeight="1" x14ac:dyDescent="0.2">
      <c r="A9" s="8">
        <v>8</v>
      </c>
      <c r="B9" s="79"/>
      <c r="C9" s="17"/>
      <c r="D9" s="158"/>
      <c r="E9" s="102"/>
      <c r="H9" s="40"/>
    </row>
    <row r="10" spans="1:9" ht="16" customHeight="1" x14ac:dyDescent="0.2">
      <c r="A10" s="8">
        <v>9</v>
      </c>
      <c r="B10" s="9" t="s">
        <v>322</v>
      </c>
      <c r="C10" s="17" t="s">
        <v>606</v>
      </c>
      <c r="D10" s="64">
        <v>46174</v>
      </c>
      <c r="E10" s="39">
        <v>1</v>
      </c>
      <c r="H10" s="40"/>
    </row>
    <row r="11" spans="1:9" ht="16" customHeight="1" x14ac:dyDescent="0.2">
      <c r="A11" s="8">
        <v>10</v>
      </c>
      <c r="B11" s="9" t="s">
        <v>660</v>
      </c>
      <c r="C11" s="17" t="s">
        <v>654</v>
      </c>
      <c r="D11" s="64">
        <v>46174</v>
      </c>
      <c r="E11" s="39">
        <v>1</v>
      </c>
      <c r="H11" s="40"/>
    </row>
    <row r="12" spans="1:9" ht="16" customHeight="1" thickBot="1" x14ac:dyDescent="0.25">
      <c r="A12" s="8">
        <v>11</v>
      </c>
      <c r="B12" s="9" t="s">
        <v>402</v>
      </c>
      <c r="C12" s="17" t="s">
        <v>622</v>
      </c>
      <c r="D12" s="64">
        <v>46174</v>
      </c>
      <c r="E12" s="39">
        <v>1</v>
      </c>
      <c r="H12" s="40"/>
    </row>
    <row r="13" spans="1:9" ht="16" customHeight="1" x14ac:dyDescent="0.2">
      <c r="A13" s="8">
        <v>12</v>
      </c>
      <c r="B13" s="9" t="s">
        <v>655</v>
      </c>
      <c r="C13" s="17" t="s">
        <v>606</v>
      </c>
      <c r="D13" s="64">
        <v>46176</v>
      </c>
      <c r="E13" s="39">
        <v>1</v>
      </c>
      <c r="G13" s="322" t="s">
        <v>662</v>
      </c>
      <c r="H13" s="40"/>
    </row>
    <row r="14" spans="1:9" ht="16" customHeight="1" thickBot="1" x14ac:dyDescent="0.25">
      <c r="A14" s="8">
        <v>13</v>
      </c>
      <c r="B14" s="9" t="s">
        <v>655</v>
      </c>
      <c r="C14" s="222" t="s">
        <v>622</v>
      </c>
      <c r="D14" s="64">
        <v>46176</v>
      </c>
      <c r="E14" s="39">
        <v>1</v>
      </c>
      <c r="G14" s="323">
        <f>SUM(E10:E24)</f>
        <v>20</v>
      </c>
      <c r="H14" s="40"/>
    </row>
    <row r="15" spans="1:9" ht="16" customHeight="1" x14ac:dyDescent="0.2">
      <c r="A15" s="8">
        <v>14</v>
      </c>
      <c r="B15" s="9" t="s">
        <v>339</v>
      </c>
      <c r="C15" s="17" t="s">
        <v>654</v>
      </c>
      <c r="D15" s="64">
        <v>46177</v>
      </c>
      <c r="E15" s="39">
        <v>1</v>
      </c>
      <c r="H15" s="40"/>
    </row>
    <row r="16" spans="1:9" ht="16" customHeight="1" x14ac:dyDescent="0.2">
      <c r="A16" s="8">
        <v>15</v>
      </c>
      <c r="B16" s="28" t="s">
        <v>620</v>
      </c>
      <c r="C16" s="17" t="s">
        <v>606</v>
      </c>
      <c r="D16" s="64">
        <v>46178</v>
      </c>
      <c r="E16" s="39">
        <v>2</v>
      </c>
      <c r="H16" s="40"/>
    </row>
    <row r="17" spans="1:11" ht="16" customHeight="1" x14ac:dyDescent="0.2">
      <c r="A17" s="8">
        <v>16</v>
      </c>
      <c r="B17" s="28" t="s">
        <v>621</v>
      </c>
      <c r="C17" s="222" t="s">
        <v>622</v>
      </c>
      <c r="D17" s="158">
        <v>46178</v>
      </c>
      <c r="E17" s="102">
        <v>2</v>
      </c>
      <c r="H17" s="40"/>
    </row>
    <row r="18" spans="1:11" ht="16" customHeight="1" x14ac:dyDescent="0.2">
      <c r="A18" s="8">
        <v>17</v>
      </c>
      <c r="B18" s="9" t="s">
        <v>311</v>
      </c>
      <c r="C18" s="17" t="s">
        <v>606</v>
      </c>
      <c r="D18" s="68">
        <v>46180</v>
      </c>
      <c r="E18" s="45">
        <v>2</v>
      </c>
      <c r="H18" s="40"/>
      <c r="I18" s="7" t="s">
        <v>626</v>
      </c>
    </row>
    <row r="19" spans="1:11" ht="16" customHeight="1" x14ac:dyDescent="0.2">
      <c r="A19" s="8">
        <v>18</v>
      </c>
      <c r="B19" s="9" t="s">
        <v>322</v>
      </c>
      <c r="C19" s="17" t="s">
        <v>622</v>
      </c>
      <c r="D19" s="68">
        <v>46180</v>
      </c>
      <c r="E19" s="45">
        <v>2</v>
      </c>
      <c r="H19" s="40"/>
    </row>
    <row r="20" spans="1:11" ht="16" customHeight="1" x14ac:dyDescent="0.2">
      <c r="A20" s="8">
        <v>19</v>
      </c>
      <c r="B20" s="9" t="s">
        <v>402</v>
      </c>
      <c r="C20" s="17" t="s">
        <v>654</v>
      </c>
      <c r="D20" s="64">
        <v>46181</v>
      </c>
      <c r="E20" s="39">
        <v>1</v>
      </c>
      <c r="H20" s="40"/>
    </row>
    <row r="21" spans="1:11" ht="16" customHeight="1" x14ac:dyDescent="0.2">
      <c r="A21" s="8">
        <v>20</v>
      </c>
      <c r="B21" s="9" t="s">
        <v>409</v>
      </c>
      <c r="C21" s="17" t="s">
        <v>622</v>
      </c>
      <c r="D21" s="64">
        <v>46181</v>
      </c>
      <c r="E21" s="39">
        <v>1</v>
      </c>
      <c r="H21" s="40"/>
    </row>
    <row r="22" spans="1:11" ht="16" customHeight="1" x14ac:dyDescent="0.2">
      <c r="A22" s="8">
        <v>21</v>
      </c>
      <c r="B22" s="28" t="s">
        <v>619</v>
      </c>
      <c r="C22" s="17" t="s">
        <v>606</v>
      </c>
      <c r="D22" s="64">
        <v>46183</v>
      </c>
      <c r="E22" s="39">
        <v>2</v>
      </c>
      <c r="H22" s="40"/>
    </row>
    <row r="23" spans="1:11" ht="16" customHeight="1" x14ac:dyDescent="0.2">
      <c r="A23" s="8">
        <v>22</v>
      </c>
      <c r="B23" s="9" t="s">
        <v>339</v>
      </c>
      <c r="C23" s="17" t="s">
        <v>622</v>
      </c>
      <c r="D23" s="64">
        <v>46183</v>
      </c>
      <c r="E23" s="39">
        <v>1</v>
      </c>
      <c r="H23" s="40"/>
    </row>
    <row r="24" spans="1:11" ht="16" customHeight="1" x14ac:dyDescent="0.2">
      <c r="A24" s="8">
        <v>23</v>
      </c>
      <c r="B24" s="9" t="s">
        <v>551</v>
      </c>
      <c r="C24" s="17" t="s">
        <v>606</v>
      </c>
      <c r="D24" s="64">
        <v>46185</v>
      </c>
      <c r="E24" s="39">
        <v>1</v>
      </c>
      <c r="H24" s="40"/>
    </row>
    <row r="25" spans="1:11" ht="16" customHeight="1" x14ac:dyDescent="0.2">
      <c r="A25" s="8">
        <v>24</v>
      </c>
      <c r="B25" s="9"/>
      <c r="C25" s="17"/>
      <c r="D25" s="64"/>
      <c r="E25" s="39"/>
      <c r="H25" s="40"/>
    </row>
    <row r="26" spans="1:11" ht="16" customHeight="1" x14ac:dyDescent="0.2">
      <c r="A26" s="8">
        <v>25</v>
      </c>
      <c r="B26" s="28"/>
      <c r="C26" s="17"/>
      <c r="D26" s="64"/>
      <c r="E26" s="39"/>
    </row>
    <row r="27" spans="1:11" ht="16" customHeight="1" x14ac:dyDescent="0.2">
      <c r="A27" s="8">
        <v>26</v>
      </c>
      <c r="B27" s="32"/>
      <c r="C27" s="39"/>
      <c r="D27" s="64"/>
      <c r="E27" s="39"/>
    </row>
    <row r="28" spans="1:11" ht="16" customHeight="1" x14ac:dyDescent="0.2">
      <c r="A28" s="8">
        <v>27</v>
      </c>
      <c r="B28" s="9"/>
      <c r="C28" s="39"/>
      <c r="D28" s="64"/>
      <c r="E28" s="39"/>
      <c r="I28" s="305"/>
      <c r="J28" s="305"/>
      <c r="K28" s="305"/>
    </row>
    <row r="29" spans="1:11" ht="16" customHeight="1" x14ac:dyDescent="0.2">
      <c r="A29" s="8">
        <v>28</v>
      </c>
      <c r="B29" s="9"/>
      <c r="C29" s="39"/>
      <c r="D29" s="64"/>
      <c r="E29" s="39"/>
    </row>
    <row r="30" spans="1:11" ht="16" customHeight="1" x14ac:dyDescent="0.2">
      <c r="A30" s="8">
        <v>29</v>
      </c>
      <c r="B30" s="32"/>
      <c r="C30" s="98"/>
      <c r="D30" s="64"/>
      <c r="E30" s="39"/>
    </row>
    <row r="31" spans="1:11" ht="16" customHeight="1" x14ac:dyDescent="0.2">
      <c r="A31" s="8">
        <v>30</v>
      </c>
      <c r="B31" s="9"/>
      <c r="C31" s="98"/>
      <c r="D31" s="64"/>
      <c r="E31" s="39"/>
    </row>
    <row r="32" spans="1:11" ht="16" customHeight="1" x14ac:dyDescent="0.2">
      <c r="A32" s="8">
        <v>31</v>
      </c>
      <c r="B32" s="19"/>
      <c r="C32" s="39"/>
      <c r="D32" s="64"/>
      <c r="E32" s="39"/>
    </row>
    <row r="33" spans="1:5" ht="16" customHeight="1" x14ac:dyDescent="0.2">
      <c r="A33" s="8">
        <v>32</v>
      </c>
      <c r="B33" s="9"/>
      <c r="C33" s="39"/>
      <c r="D33" s="64"/>
      <c r="E33" s="39"/>
    </row>
    <row r="34" spans="1:5" ht="17" customHeight="1" x14ac:dyDescent="0.2">
      <c r="A34" s="8">
        <v>33</v>
      </c>
      <c r="B34" s="9"/>
      <c r="C34" s="39"/>
      <c r="D34" s="64"/>
      <c r="E34" s="39"/>
    </row>
    <row r="35" spans="1:5" ht="16" customHeight="1" x14ac:dyDescent="0.2">
      <c r="A35" s="8">
        <v>34</v>
      </c>
      <c r="B35" s="86"/>
      <c r="C35" s="39"/>
      <c r="D35" s="64"/>
      <c r="E35" s="39"/>
    </row>
    <row r="36" spans="1:5" ht="16" customHeight="1" x14ac:dyDescent="0.2">
      <c r="A36" s="8">
        <v>35</v>
      </c>
      <c r="B36" s="9"/>
      <c r="C36" s="39"/>
      <c r="D36" s="64"/>
      <c r="E36" s="39"/>
    </row>
    <row r="37" spans="1:5" ht="16" customHeight="1" x14ac:dyDescent="0.2">
      <c r="A37" s="8">
        <v>36</v>
      </c>
      <c r="B37" s="19"/>
      <c r="C37" s="39"/>
      <c r="D37" s="64"/>
      <c r="E37" s="39"/>
    </row>
    <row r="38" spans="1:5" ht="16" customHeight="1" x14ac:dyDescent="0.2">
      <c r="A38" s="8">
        <v>37</v>
      </c>
      <c r="B38" s="9"/>
      <c r="C38" s="39"/>
      <c r="D38" s="64"/>
      <c r="E38" s="39"/>
    </row>
    <row r="39" spans="1:5" ht="16" customHeight="1" x14ac:dyDescent="0.2">
      <c r="A39" s="8">
        <v>38</v>
      </c>
      <c r="B39" s="9"/>
      <c r="C39" s="39"/>
      <c r="D39" s="64"/>
      <c r="E39" s="39"/>
    </row>
    <row r="40" spans="1:5" ht="16" customHeight="1" x14ac:dyDescent="0.2">
      <c r="A40" s="8">
        <v>39</v>
      </c>
      <c r="B40" s="9"/>
      <c r="C40" s="39"/>
      <c r="D40" s="64"/>
      <c r="E40" s="39"/>
    </row>
    <row r="41" spans="1:5" ht="16" customHeight="1" x14ac:dyDescent="0.2">
      <c r="A41" s="8">
        <v>40</v>
      </c>
      <c r="B41" s="9"/>
      <c r="C41" s="100"/>
      <c r="D41" s="64"/>
      <c r="E41" s="39"/>
    </row>
    <row r="42" spans="1:5" ht="16" customHeight="1" x14ac:dyDescent="0.2">
      <c r="A42" s="8">
        <v>41</v>
      </c>
      <c r="B42" s="9"/>
      <c r="C42" s="17"/>
      <c r="D42" s="64"/>
      <c r="E42" s="39"/>
    </row>
    <row r="43" spans="1:5" ht="16" customHeight="1" x14ac:dyDescent="0.2">
      <c r="A43" s="8">
        <v>42</v>
      </c>
      <c r="B43" s="66"/>
      <c r="C43" s="17"/>
      <c r="D43" s="64"/>
      <c r="E43" s="39"/>
    </row>
    <row r="44" spans="1:5" ht="16" customHeight="1" x14ac:dyDescent="0.2">
      <c r="A44" s="8">
        <v>43</v>
      </c>
      <c r="B44" s="9"/>
      <c r="C44" s="101"/>
      <c r="D44" s="51"/>
      <c r="E44" s="39"/>
    </row>
    <row r="45" spans="1:5" ht="16" customHeight="1" x14ac:dyDescent="0.2">
      <c r="A45" s="8">
        <v>44</v>
      </c>
      <c r="B45" s="9"/>
      <c r="C45" s="101"/>
      <c r="D45" s="51"/>
      <c r="E45" s="39"/>
    </row>
    <row r="46" spans="1:5" ht="16" customHeight="1" x14ac:dyDescent="0.2">
      <c r="A46" s="8">
        <v>45</v>
      </c>
      <c r="B46" s="9"/>
      <c r="C46" s="101"/>
      <c r="D46" s="51"/>
      <c r="E46" s="39"/>
    </row>
    <row r="47" spans="1:5" ht="16" customHeight="1" x14ac:dyDescent="0.2">
      <c r="A47" s="8">
        <v>46</v>
      </c>
      <c r="B47" s="9"/>
      <c r="C47" s="17"/>
      <c r="D47" s="64"/>
      <c r="E47" s="39"/>
    </row>
    <row r="48" spans="1:5" ht="16" customHeight="1" x14ac:dyDescent="0.2">
      <c r="A48" s="8">
        <v>47</v>
      </c>
      <c r="B48" s="9"/>
      <c r="C48" s="39"/>
      <c r="D48" s="64"/>
      <c r="E48" s="39"/>
    </row>
    <row r="49" spans="1:5" ht="16" customHeight="1" x14ac:dyDescent="0.2">
      <c r="A49" s="8">
        <v>48</v>
      </c>
      <c r="B49" s="9"/>
      <c r="C49" s="39"/>
      <c r="D49" s="51"/>
      <c r="E49" s="39"/>
    </row>
    <row r="50" spans="1:5" ht="16" customHeight="1" x14ac:dyDescent="0.2">
      <c r="A50" s="8">
        <v>49</v>
      </c>
      <c r="B50" s="9"/>
      <c r="C50" s="39"/>
      <c r="D50" s="64"/>
      <c r="E50" s="39"/>
    </row>
    <row r="51" spans="1:5" ht="16" customHeight="1" x14ac:dyDescent="0.2">
      <c r="A51" s="8">
        <v>50</v>
      </c>
      <c r="B51" s="9"/>
      <c r="C51" s="17"/>
      <c r="D51" s="64"/>
      <c r="E51" s="39"/>
    </row>
    <row r="52" spans="1:5" ht="16" customHeight="1" x14ac:dyDescent="0.2">
      <c r="A52" s="8">
        <v>51</v>
      </c>
      <c r="B52" s="9"/>
      <c r="C52" s="17"/>
      <c r="D52" s="64"/>
      <c r="E52" s="39"/>
    </row>
    <row r="53" spans="1:5" ht="16" customHeight="1" x14ac:dyDescent="0.2">
      <c r="A53" s="8">
        <v>52</v>
      </c>
      <c r="B53" s="9"/>
      <c r="C53" s="39"/>
      <c r="D53" s="51"/>
      <c r="E53" s="39"/>
    </row>
    <row r="54" spans="1:5" ht="16" customHeight="1" x14ac:dyDescent="0.2">
      <c r="A54" s="8">
        <v>53</v>
      </c>
      <c r="B54" s="9"/>
      <c r="C54" s="17"/>
      <c r="D54" s="64"/>
      <c r="E54" s="39"/>
    </row>
    <row r="55" spans="1:5" ht="16" customHeight="1" x14ac:dyDescent="0.2">
      <c r="A55" s="8">
        <v>54</v>
      </c>
      <c r="B55" s="9"/>
      <c r="C55" s="39"/>
      <c r="D55" s="51"/>
      <c r="E55" s="39"/>
    </row>
    <row r="56" spans="1:5" ht="16" customHeight="1" x14ac:dyDescent="0.2">
      <c r="A56" s="8">
        <v>55</v>
      </c>
      <c r="B56" s="9"/>
      <c r="C56" s="17"/>
      <c r="D56" s="64"/>
      <c r="E56" s="39"/>
    </row>
    <row r="57" spans="1:5" ht="16" customHeight="1" x14ac:dyDescent="0.2">
      <c r="A57" s="8">
        <v>56</v>
      </c>
      <c r="B57" s="9"/>
      <c r="C57" s="39"/>
      <c r="D57" s="51"/>
      <c r="E57" s="39"/>
    </row>
    <row r="58" spans="1:5" ht="16" customHeight="1" x14ac:dyDescent="0.2">
      <c r="A58" s="8">
        <v>57</v>
      </c>
      <c r="B58" s="9"/>
      <c r="C58" s="39"/>
      <c r="D58" s="64"/>
      <c r="E58" s="39"/>
    </row>
    <row r="59" spans="1:5" ht="16" customHeight="1" x14ac:dyDescent="0.2">
      <c r="A59" s="8">
        <v>58</v>
      </c>
      <c r="B59" s="19"/>
      <c r="C59" s="226"/>
      <c r="D59" s="51"/>
      <c r="E59" s="39"/>
    </row>
    <row r="60" spans="1:5" ht="16" customHeight="1" x14ac:dyDescent="0.2">
      <c r="A60" s="8">
        <v>59</v>
      </c>
      <c r="B60" s="19"/>
      <c r="C60" s="39"/>
      <c r="D60" s="64"/>
      <c r="E60" s="39"/>
    </row>
    <row r="61" spans="1:5" ht="16" customHeight="1" x14ac:dyDescent="0.2">
      <c r="A61" s="8">
        <v>60</v>
      </c>
      <c r="B61" s="19"/>
      <c r="C61" s="39"/>
      <c r="D61" s="64"/>
      <c r="E61" s="39"/>
    </row>
    <row r="62" spans="1:5" ht="16" customHeight="1" x14ac:dyDescent="0.2">
      <c r="A62" s="8">
        <v>61</v>
      </c>
      <c r="B62" s="9"/>
      <c r="C62" s="39"/>
      <c r="D62" s="64"/>
      <c r="E62" s="39"/>
    </row>
    <row r="63" spans="1:5" ht="16" customHeight="1" x14ac:dyDescent="0.2">
      <c r="A63" s="8">
        <v>62</v>
      </c>
      <c r="B63" s="9"/>
      <c r="C63" s="39"/>
      <c r="D63" s="64"/>
      <c r="E63" s="39"/>
    </row>
    <row r="64" spans="1:5" ht="16" customHeight="1" x14ac:dyDescent="0.2">
      <c r="A64" s="8">
        <v>63</v>
      </c>
      <c r="B64" s="91"/>
      <c r="D64" s="51"/>
      <c r="E64" s="17"/>
    </row>
    <row r="65" spans="1:5" ht="16" customHeight="1" x14ac:dyDescent="0.2">
      <c r="A65" s="8">
        <v>64</v>
      </c>
      <c r="B65" s="9"/>
      <c r="C65" s="39"/>
      <c r="D65" s="64"/>
      <c r="E65" s="39"/>
    </row>
    <row r="66" spans="1:5" ht="16" customHeight="1" x14ac:dyDescent="0.2">
      <c r="A66" s="8">
        <v>65</v>
      </c>
      <c r="B66" s="28"/>
      <c r="C66" s="39"/>
      <c r="D66" s="51"/>
      <c r="E66" s="39"/>
    </row>
    <row r="67" spans="1:5" ht="16" customHeight="1" x14ac:dyDescent="0.2">
      <c r="A67" s="8">
        <v>66</v>
      </c>
      <c r="B67" s="46"/>
      <c r="C67" s="17"/>
      <c r="D67" s="64"/>
      <c r="E67" s="39"/>
    </row>
    <row r="68" spans="1:5" ht="16" customHeight="1" x14ac:dyDescent="0.2">
      <c r="A68" s="8">
        <v>67</v>
      </c>
      <c r="B68" s="46"/>
      <c r="C68" s="39"/>
      <c r="D68" s="64"/>
      <c r="E68" s="39"/>
    </row>
    <row r="69" spans="1:5" ht="16" customHeight="1" x14ac:dyDescent="0.2">
      <c r="A69" s="8">
        <v>68</v>
      </c>
      <c r="B69" s="9"/>
      <c r="C69" s="39"/>
      <c r="D69" s="64"/>
      <c r="E69" s="39"/>
    </row>
    <row r="70" spans="1:5" ht="16" customHeight="1" x14ac:dyDescent="0.2">
      <c r="A70" s="8">
        <v>69</v>
      </c>
      <c r="B70" s="46"/>
      <c r="C70" s="39"/>
      <c r="D70" s="64"/>
      <c r="E70" s="39"/>
    </row>
    <row r="71" spans="1:5" ht="16" customHeight="1" x14ac:dyDescent="0.2">
      <c r="A71" s="8">
        <v>70</v>
      </c>
      <c r="B71" s="46"/>
      <c r="C71" s="39"/>
      <c r="D71" s="64"/>
      <c r="E71" s="39"/>
    </row>
    <row r="72" spans="1:5" ht="16" customHeight="1" x14ac:dyDescent="0.2">
      <c r="A72" s="8">
        <v>71</v>
      </c>
      <c r="B72" s="46"/>
      <c r="C72" s="39"/>
      <c r="D72" s="64"/>
      <c r="E72" s="39"/>
    </row>
    <row r="73" spans="1:5" ht="16" customHeight="1" x14ac:dyDescent="0.2">
      <c r="A73" s="8">
        <v>72</v>
      </c>
      <c r="B73" s="9"/>
      <c r="C73" s="39"/>
      <c r="D73" s="64"/>
      <c r="E73" s="39"/>
    </row>
    <row r="74" spans="1:5" ht="16" customHeight="1" x14ac:dyDescent="0.2">
      <c r="A74" s="8">
        <v>73</v>
      </c>
      <c r="B74" s="9"/>
      <c r="C74" s="39"/>
      <c r="D74" s="64"/>
      <c r="E74" s="39"/>
    </row>
    <row r="75" spans="1:5" ht="16" customHeight="1" x14ac:dyDescent="0.2">
      <c r="A75" s="8">
        <v>74</v>
      </c>
      <c r="B75" s="9"/>
      <c r="C75" s="39"/>
      <c r="D75" s="64"/>
      <c r="E75" s="39"/>
    </row>
    <row r="76" spans="1:5" ht="16" customHeight="1" x14ac:dyDescent="0.2">
      <c r="A76" s="8">
        <v>75</v>
      </c>
      <c r="B76" s="9"/>
      <c r="C76" s="39"/>
      <c r="D76" s="64"/>
      <c r="E76" s="39"/>
    </row>
    <row r="77" spans="1:5" ht="16" customHeight="1" x14ac:dyDescent="0.2">
      <c r="A77" s="8">
        <v>76</v>
      </c>
      <c r="B77" s="9"/>
      <c r="C77" s="39"/>
      <c r="D77" s="64"/>
      <c r="E77" s="39"/>
    </row>
    <row r="78" spans="1:5" ht="16" customHeight="1" x14ac:dyDescent="0.2">
      <c r="C78" s="7"/>
      <c r="E78" s="7"/>
    </row>
    <row r="79" spans="1:5" ht="16" customHeight="1" x14ac:dyDescent="0.2">
      <c r="C79" s="7"/>
      <c r="E79" s="7"/>
    </row>
    <row r="80" spans="1:5" ht="16" customHeight="1" x14ac:dyDescent="0.2">
      <c r="C80" s="7"/>
      <c r="E80" s="7"/>
    </row>
    <row r="81" spans="1:5" x14ac:dyDescent="0.2">
      <c r="C81" s="7"/>
      <c r="E81" s="7"/>
    </row>
    <row r="82" spans="1:5" ht="17" thickBot="1" x14ac:dyDescent="0.25"/>
    <row r="83" spans="1:5" ht="17" thickBot="1" x14ac:dyDescent="0.25">
      <c r="A83" s="302" t="s">
        <v>92</v>
      </c>
      <c r="B83" s="303"/>
      <c r="C83" s="303"/>
      <c r="D83" s="303"/>
      <c r="E83" s="99">
        <f>SUM(E5:E77)</f>
        <v>33</v>
      </c>
    </row>
  </sheetData>
  <mergeCells count="3">
    <mergeCell ref="H1:I1"/>
    <mergeCell ref="I28:K28"/>
    <mergeCell ref="A83:D83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D78D7-F387-154A-B497-61ECDD4C56E5}">
  <dimension ref="A1:L31"/>
  <sheetViews>
    <sheetView workbookViewId="0">
      <selection activeCell="H7" sqref="H7:L9"/>
    </sheetView>
  </sheetViews>
  <sheetFormatPr baseColWidth="10" defaultRowHeight="16" x14ac:dyDescent="0.2"/>
  <cols>
    <col min="1" max="1" width="7.33203125" customWidth="1"/>
    <col min="2" max="2" width="34.1640625" customWidth="1"/>
    <col min="3" max="3" width="12.33203125" customWidth="1"/>
  </cols>
  <sheetData>
    <row r="1" spans="1:12" s="2" customFormat="1" x14ac:dyDescent="0.2">
      <c r="A1" s="6" t="s">
        <v>13</v>
      </c>
      <c r="B1" s="4" t="s">
        <v>14</v>
      </c>
      <c r="C1" s="4" t="s">
        <v>1</v>
      </c>
      <c r="D1" s="4" t="s">
        <v>0</v>
      </c>
      <c r="E1" s="4" t="s">
        <v>15</v>
      </c>
    </row>
    <row r="2" spans="1:12" x14ac:dyDescent="0.2">
      <c r="A2" s="6">
        <v>1</v>
      </c>
      <c r="B2" s="5"/>
      <c r="C2" s="5"/>
      <c r="D2" s="5"/>
      <c r="E2" s="5"/>
    </row>
    <row r="3" spans="1:12" x14ac:dyDescent="0.2">
      <c r="A3" s="6">
        <v>2</v>
      </c>
      <c r="B3" s="5"/>
      <c r="C3" s="5"/>
      <c r="D3" s="5"/>
      <c r="E3" s="5"/>
    </row>
    <row r="4" spans="1:12" x14ac:dyDescent="0.2">
      <c r="A4" s="6">
        <v>3</v>
      </c>
      <c r="B4" s="5"/>
      <c r="C4" s="5"/>
      <c r="D4" s="5"/>
      <c r="E4" s="5"/>
    </row>
    <row r="5" spans="1:12" x14ac:dyDescent="0.2">
      <c r="A5" s="6">
        <v>4</v>
      </c>
      <c r="B5" s="5"/>
      <c r="C5" s="5"/>
      <c r="D5" s="5"/>
      <c r="E5" s="5"/>
    </row>
    <row r="6" spans="1:12" x14ac:dyDescent="0.2">
      <c r="A6" s="6">
        <v>5</v>
      </c>
      <c r="B6" s="5"/>
      <c r="C6" s="5"/>
      <c r="D6" s="5"/>
      <c r="E6" s="5"/>
    </row>
    <row r="7" spans="1:12" x14ac:dyDescent="0.2">
      <c r="A7" s="6">
        <v>6</v>
      </c>
      <c r="B7" s="5"/>
      <c r="C7" s="5"/>
      <c r="D7" s="5"/>
      <c r="E7" s="5"/>
      <c r="H7" s="317" t="s">
        <v>77</v>
      </c>
      <c r="I7" s="317"/>
      <c r="J7" s="317"/>
      <c r="K7" s="317"/>
      <c r="L7" s="317"/>
    </row>
    <row r="8" spans="1:12" x14ac:dyDescent="0.2">
      <c r="A8" s="6">
        <v>7</v>
      </c>
      <c r="B8" s="5"/>
      <c r="C8" s="5"/>
      <c r="D8" s="5"/>
      <c r="E8" s="5"/>
      <c r="H8" s="317"/>
      <c r="I8" s="317"/>
      <c r="J8" s="317"/>
      <c r="K8" s="317"/>
      <c r="L8" s="317"/>
    </row>
    <row r="9" spans="1:12" x14ac:dyDescent="0.2">
      <c r="A9" s="6">
        <v>8</v>
      </c>
      <c r="B9" s="5"/>
      <c r="C9" s="5"/>
      <c r="D9" s="5"/>
      <c r="E9" s="5"/>
      <c r="H9" s="317"/>
      <c r="I9" s="317"/>
      <c r="J9" s="317"/>
      <c r="K9" s="317"/>
      <c r="L9" s="317"/>
    </row>
    <row r="10" spans="1:12" x14ac:dyDescent="0.2">
      <c r="A10" s="6">
        <v>9</v>
      </c>
      <c r="B10" s="5"/>
      <c r="C10" s="5"/>
      <c r="D10" s="5"/>
      <c r="E10" s="5"/>
    </row>
    <row r="11" spans="1:12" ht="16" customHeight="1" x14ac:dyDescent="0.2">
      <c r="A11" s="6">
        <v>10</v>
      </c>
      <c r="B11" s="5"/>
      <c r="C11" s="5"/>
      <c r="D11" s="5"/>
      <c r="E11" s="5"/>
    </row>
    <row r="12" spans="1:12" ht="16" customHeight="1" x14ac:dyDescent="0.2">
      <c r="A12" s="6">
        <v>11</v>
      </c>
      <c r="B12" s="5"/>
      <c r="C12" s="5"/>
      <c r="D12" s="5"/>
      <c r="E12" s="5"/>
    </row>
    <row r="13" spans="1:12" ht="16" customHeight="1" x14ac:dyDescent="0.2">
      <c r="A13" s="6">
        <v>12</v>
      </c>
      <c r="B13" s="5"/>
      <c r="C13" s="5"/>
      <c r="D13" s="5"/>
      <c r="E13" s="5"/>
    </row>
    <row r="14" spans="1:12" x14ac:dyDescent="0.2">
      <c r="A14" s="6">
        <v>13</v>
      </c>
      <c r="B14" s="5"/>
      <c r="C14" s="5"/>
      <c r="D14" s="5"/>
      <c r="E14" s="5"/>
    </row>
    <row r="15" spans="1:12" x14ac:dyDescent="0.2">
      <c r="A15" s="6">
        <v>14</v>
      </c>
      <c r="B15" s="5"/>
      <c r="C15" s="5"/>
      <c r="D15" s="5"/>
      <c r="E15" s="5"/>
    </row>
    <row r="16" spans="1:12" x14ac:dyDescent="0.2">
      <c r="A16" s="6">
        <v>15</v>
      </c>
      <c r="B16" s="5"/>
      <c r="C16" s="5"/>
      <c r="D16" s="5"/>
      <c r="E16" s="5"/>
    </row>
    <row r="17" spans="1:5" x14ac:dyDescent="0.2">
      <c r="A17" s="6">
        <v>16</v>
      </c>
      <c r="B17" s="5"/>
      <c r="C17" s="5"/>
      <c r="D17" s="5"/>
      <c r="E17" s="5"/>
    </row>
    <row r="18" spans="1:5" x14ac:dyDescent="0.2">
      <c r="A18" s="6">
        <v>17</v>
      </c>
      <c r="B18" s="5"/>
      <c r="C18" s="5"/>
      <c r="D18" s="5"/>
      <c r="E18" s="5"/>
    </row>
    <row r="19" spans="1:5" x14ac:dyDescent="0.2">
      <c r="A19" s="6">
        <v>18</v>
      </c>
      <c r="B19" s="5"/>
      <c r="C19" s="5"/>
      <c r="D19" s="5"/>
      <c r="E19" s="5"/>
    </row>
    <row r="20" spans="1:5" x14ac:dyDescent="0.2">
      <c r="A20" s="6">
        <v>19</v>
      </c>
      <c r="B20" s="5"/>
      <c r="C20" s="5"/>
      <c r="D20" s="5"/>
      <c r="E20" s="5"/>
    </row>
    <row r="21" spans="1:5" x14ac:dyDescent="0.2">
      <c r="A21" s="6">
        <v>20</v>
      </c>
      <c r="B21" s="5"/>
      <c r="C21" s="5"/>
      <c r="D21" s="5"/>
      <c r="E21" s="5"/>
    </row>
    <row r="22" spans="1:5" x14ac:dyDescent="0.2">
      <c r="A22" s="6">
        <v>21</v>
      </c>
      <c r="B22" s="5"/>
      <c r="C22" s="5"/>
      <c r="D22" s="5"/>
      <c r="E22" s="5"/>
    </row>
    <row r="23" spans="1:5" x14ac:dyDescent="0.2">
      <c r="A23" s="6">
        <v>22</v>
      </c>
      <c r="B23" s="5"/>
      <c r="C23" s="5"/>
      <c r="D23" s="5"/>
      <c r="E23" s="5"/>
    </row>
    <row r="24" spans="1:5" x14ac:dyDescent="0.2">
      <c r="A24" s="6">
        <v>23</v>
      </c>
      <c r="B24" s="5"/>
      <c r="C24" s="5"/>
      <c r="D24" s="5"/>
      <c r="E24" s="5"/>
    </row>
    <row r="25" spans="1:5" x14ac:dyDescent="0.2">
      <c r="A25" s="6">
        <v>24</v>
      </c>
      <c r="B25" s="5"/>
      <c r="C25" s="5"/>
      <c r="D25" s="5"/>
      <c r="E25" s="5"/>
    </row>
    <row r="26" spans="1:5" x14ac:dyDescent="0.2">
      <c r="A26" s="6">
        <v>25</v>
      </c>
      <c r="B26" s="5"/>
      <c r="C26" s="5"/>
      <c r="D26" s="5"/>
      <c r="E26" s="5"/>
    </row>
    <row r="27" spans="1:5" x14ac:dyDescent="0.2">
      <c r="A27" s="6">
        <v>26</v>
      </c>
      <c r="B27" s="5"/>
      <c r="C27" s="5"/>
      <c r="D27" s="5"/>
      <c r="E27" s="5"/>
    </row>
    <row r="28" spans="1:5" x14ac:dyDescent="0.2">
      <c r="A28" s="6">
        <v>27</v>
      </c>
      <c r="B28" s="5"/>
      <c r="C28" s="5"/>
      <c r="D28" s="5"/>
      <c r="E28" s="5"/>
    </row>
    <row r="29" spans="1:5" x14ac:dyDescent="0.2">
      <c r="A29" s="6">
        <v>28</v>
      </c>
      <c r="B29" s="5"/>
      <c r="C29" s="5"/>
      <c r="D29" s="5"/>
      <c r="E29" s="5"/>
    </row>
    <row r="30" spans="1:5" x14ac:dyDescent="0.2">
      <c r="A30" s="6">
        <v>29</v>
      </c>
      <c r="B30" s="5"/>
      <c r="C30" s="5"/>
      <c r="D30" s="5"/>
      <c r="E30" s="5"/>
    </row>
    <row r="31" spans="1:5" x14ac:dyDescent="0.2">
      <c r="A31" s="6">
        <v>30</v>
      </c>
      <c r="B31" s="5"/>
      <c r="C31" s="5"/>
      <c r="D31" s="5"/>
      <c r="E31" s="5"/>
    </row>
  </sheetData>
  <mergeCells count="1">
    <mergeCell ref="H7:L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70E0B-B72E-4046-9F24-6F27FAA5F433}">
  <dimension ref="A1:M82"/>
  <sheetViews>
    <sheetView zoomScale="94" zoomScaleNormal="100" workbookViewId="0">
      <selection activeCell="E15" sqref="E15"/>
    </sheetView>
  </sheetViews>
  <sheetFormatPr baseColWidth="10" defaultRowHeight="16" x14ac:dyDescent="0.2"/>
  <cols>
    <col min="1" max="1" width="7.33203125" style="7" customWidth="1"/>
    <col min="2" max="2" width="72.5" style="7" bestFit="1" customWidth="1"/>
    <col min="3" max="3" width="12.33203125" style="40" customWidth="1"/>
    <col min="4" max="4" width="23.5" style="7" customWidth="1"/>
    <col min="5" max="5" width="10.83203125" style="40"/>
    <col min="6" max="8" width="10.83203125" style="7"/>
    <col min="9" max="9" width="4.83203125" style="7" customWidth="1"/>
    <col min="10" max="10" width="54.83203125" style="7" customWidth="1"/>
    <col min="11" max="16384" width="10.83203125" style="7"/>
  </cols>
  <sheetData>
    <row r="1" spans="1:13" s="36" customFormat="1" x14ac:dyDescent="0.2">
      <c r="A1" s="8" t="s">
        <v>13</v>
      </c>
      <c r="B1" s="18" t="s">
        <v>14</v>
      </c>
      <c r="C1" s="18" t="s">
        <v>1</v>
      </c>
      <c r="D1" s="18" t="s">
        <v>0</v>
      </c>
      <c r="E1" s="18" t="s">
        <v>15</v>
      </c>
      <c r="I1" s="301" t="s">
        <v>47</v>
      </c>
      <c r="J1" s="301"/>
    </row>
    <row r="2" spans="1:13" x14ac:dyDescent="0.2">
      <c r="A2" s="8">
        <v>1</v>
      </c>
      <c r="B2" s="9" t="s">
        <v>168</v>
      </c>
      <c r="C2" s="39" t="s">
        <v>105</v>
      </c>
      <c r="D2" s="50">
        <v>45925</v>
      </c>
      <c r="E2" s="39">
        <v>2</v>
      </c>
      <c r="I2" s="39">
        <v>1</v>
      </c>
      <c r="J2" s="9" t="s">
        <v>41</v>
      </c>
    </row>
    <row r="3" spans="1:13" ht="17" x14ac:dyDescent="0.2">
      <c r="A3" s="8">
        <v>2</v>
      </c>
      <c r="B3" s="75" t="s">
        <v>169</v>
      </c>
      <c r="C3" s="39" t="s">
        <v>105</v>
      </c>
      <c r="D3" s="50">
        <v>45926</v>
      </c>
      <c r="E3" s="39">
        <v>2</v>
      </c>
      <c r="I3" s="39">
        <v>2</v>
      </c>
      <c r="J3" s="9" t="s">
        <v>43</v>
      </c>
    </row>
    <row r="4" spans="1:13" x14ac:dyDescent="0.2">
      <c r="A4" s="8">
        <v>3</v>
      </c>
      <c r="B4" s="9" t="s">
        <v>172</v>
      </c>
      <c r="C4" s="39" t="s">
        <v>105</v>
      </c>
      <c r="D4" s="50">
        <v>45932</v>
      </c>
      <c r="E4" s="39">
        <v>2</v>
      </c>
      <c r="I4" s="39">
        <v>3</v>
      </c>
      <c r="J4" s="9" t="s">
        <v>44</v>
      </c>
    </row>
    <row r="5" spans="1:13" ht="34" x14ac:dyDescent="0.2">
      <c r="A5" s="8">
        <v>4</v>
      </c>
      <c r="B5" s="75" t="s">
        <v>170</v>
      </c>
      <c r="C5" s="39" t="s">
        <v>171</v>
      </c>
      <c r="D5" s="50">
        <v>45936</v>
      </c>
      <c r="E5" s="39">
        <v>3</v>
      </c>
      <c r="I5" s="39">
        <v>4</v>
      </c>
      <c r="J5" s="9" t="s">
        <v>42</v>
      </c>
    </row>
    <row r="6" spans="1:13" x14ac:dyDescent="0.2">
      <c r="A6" s="8">
        <v>5</v>
      </c>
      <c r="B6" s="9" t="s">
        <v>187</v>
      </c>
      <c r="C6" s="39" t="s">
        <v>126</v>
      </c>
      <c r="D6" s="64">
        <v>45939</v>
      </c>
      <c r="E6" s="39">
        <v>3</v>
      </c>
      <c r="I6" s="39">
        <v>5</v>
      </c>
      <c r="J6" s="9" t="s">
        <v>45</v>
      </c>
    </row>
    <row r="7" spans="1:13" x14ac:dyDescent="0.2">
      <c r="A7" s="8">
        <v>6</v>
      </c>
      <c r="B7" s="9" t="s">
        <v>188</v>
      </c>
      <c r="C7" s="39" t="s">
        <v>126</v>
      </c>
      <c r="D7" s="64">
        <v>45939</v>
      </c>
      <c r="E7" s="39">
        <v>3</v>
      </c>
      <c r="I7" s="39">
        <v>6</v>
      </c>
      <c r="J7" s="9" t="s">
        <v>46</v>
      </c>
    </row>
    <row r="8" spans="1:13" x14ac:dyDescent="0.2">
      <c r="A8" s="8">
        <v>7</v>
      </c>
      <c r="B8" s="76" t="s">
        <v>109</v>
      </c>
      <c r="C8" s="39" t="s">
        <v>100</v>
      </c>
      <c r="D8" s="68">
        <v>45941</v>
      </c>
      <c r="E8" s="45">
        <v>4</v>
      </c>
      <c r="I8" s="40"/>
    </row>
    <row r="9" spans="1:13" x14ac:dyDescent="0.2">
      <c r="A9" s="8">
        <v>8</v>
      </c>
      <c r="B9" s="76" t="s">
        <v>109</v>
      </c>
      <c r="C9" s="39" t="s">
        <v>100</v>
      </c>
      <c r="D9" s="68">
        <v>45942</v>
      </c>
      <c r="E9" s="45">
        <v>4</v>
      </c>
    </row>
    <row r="10" spans="1:13" x14ac:dyDescent="0.2">
      <c r="A10" s="8">
        <v>9</v>
      </c>
      <c r="B10" s="9" t="s">
        <v>110</v>
      </c>
      <c r="C10" s="39" t="s">
        <v>100</v>
      </c>
      <c r="D10" s="50" t="s">
        <v>111</v>
      </c>
      <c r="E10" s="39">
        <v>20</v>
      </c>
    </row>
    <row r="11" spans="1:13" x14ac:dyDescent="0.2">
      <c r="A11" s="8">
        <v>10</v>
      </c>
      <c r="B11" s="9" t="s">
        <v>187</v>
      </c>
      <c r="C11" s="39" t="s">
        <v>126</v>
      </c>
      <c r="D11" s="64">
        <v>45946</v>
      </c>
      <c r="E11" s="39">
        <v>3</v>
      </c>
      <c r="I11" s="317" t="s">
        <v>529</v>
      </c>
      <c r="J11" s="317"/>
      <c r="K11" s="317"/>
      <c r="L11" s="317"/>
      <c r="M11" s="317"/>
    </row>
    <row r="12" spans="1:13" x14ac:dyDescent="0.2">
      <c r="A12" s="8">
        <v>11</v>
      </c>
      <c r="B12" s="9" t="s">
        <v>188</v>
      </c>
      <c r="C12" s="39" t="s">
        <v>126</v>
      </c>
      <c r="D12" s="64">
        <v>45946</v>
      </c>
      <c r="E12" s="39">
        <v>3</v>
      </c>
      <c r="I12" s="317"/>
      <c r="J12" s="317"/>
      <c r="K12" s="317"/>
      <c r="L12" s="317"/>
      <c r="M12" s="317"/>
    </row>
    <row r="13" spans="1:13" x14ac:dyDescent="0.2">
      <c r="A13" s="8">
        <v>12</v>
      </c>
      <c r="B13" s="9" t="s">
        <v>190</v>
      </c>
      <c r="C13" s="39"/>
      <c r="D13" s="64">
        <v>45951</v>
      </c>
      <c r="E13" s="39">
        <v>2</v>
      </c>
      <c r="I13" s="317"/>
      <c r="J13" s="317"/>
      <c r="K13" s="317"/>
      <c r="L13" s="317"/>
      <c r="M13" s="317"/>
    </row>
    <row r="14" spans="1:13" ht="18" x14ac:dyDescent="0.2">
      <c r="A14" s="8">
        <v>13</v>
      </c>
      <c r="B14" s="9" t="s">
        <v>189</v>
      </c>
      <c r="C14" s="39" t="s">
        <v>107</v>
      </c>
      <c r="D14" s="64">
        <v>45952</v>
      </c>
      <c r="E14" s="39">
        <v>1</v>
      </c>
      <c r="I14" s="318" t="s">
        <v>530</v>
      </c>
      <c r="J14" s="318"/>
      <c r="K14" s="318"/>
      <c r="L14" s="318"/>
      <c r="M14" s="318"/>
    </row>
    <row r="15" spans="1:13" x14ac:dyDescent="0.2">
      <c r="A15" s="8">
        <v>14</v>
      </c>
      <c r="B15" s="9" t="s">
        <v>187</v>
      </c>
      <c r="C15" s="39" t="s">
        <v>126</v>
      </c>
      <c r="D15" s="64">
        <v>45953</v>
      </c>
      <c r="E15" s="39">
        <v>3</v>
      </c>
    </row>
    <row r="16" spans="1:13" x14ac:dyDescent="0.2">
      <c r="A16" s="8">
        <v>15</v>
      </c>
      <c r="B16" s="9" t="s">
        <v>188</v>
      </c>
      <c r="C16" s="39" t="s">
        <v>126</v>
      </c>
      <c r="D16" s="64">
        <v>45953</v>
      </c>
      <c r="E16" s="39">
        <v>3</v>
      </c>
    </row>
    <row r="17" spans="1:5" x14ac:dyDescent="0.2">
      <c r="A17" s="8">
        <v>16</v>
      </c>
      <c r="B17" s="9" t="s">
        <v>187</v>
      </c>
      <c r="C17" s="39" t="s">
        <v>126</v>
      </c>
      <c r="D17" s="64">
        <v>45960</v>
      </c>
      <c r="E17" s="39">
        <v>3</v>
      </c>
    </row>
    <row r="18" spans="1:5" x14ac:dyDescent="0.2">
      <c r="A18" s="8">
        <v>17</v>
      </c>
      <c r="B18" s="9" t="s">
        <v>188</v>
      </c>
      <c r="C18" s="39" t="s">
        <v>126</v>
      </c>
      <c r="D18" s="64">
        <v>45960</v>
      </c>
      <c r="E18" s="39">
        <v>3</v>
      </c>
    </row>
    <row r="19" spans="1:5" x14ac:dyDescent="0.2">
      <c r="A19" s="8">
        <v>18</v>
      </c>
      <c r="B19" s="9" t="s">
        <v>187</v>
      </c>
      <c r="C19" s="39" t="s">
        <v>126</v>
      </c>
      <c r="D19" s="64">
        <v>45967</v>
      </c>
      <c r="E19" s="39">
        <v>3</v>
      </c>
    </row>
    <row r="20" spans="1:5" x14ac:dyDescent="0.2">
      <c r="A20" s="8">
        <v>19</v>
      </c>
      <c r="B20" s="9" t="s">
        <v>188</v>
      </c>
      <c r="C20" s="39" t="s">
        <v>126</v>
      </c>
      <c r="D20" s="64">
        <v>45967</v>
      </c>
      <c r="E20" s="39">
        <v>3</v>
      </c>
    </row>
    <row r="21" spans="1:5" x14ac:dyDescent="0.2">
      <c r="A21" s="8">
        <v>20</v>
      </c>
      <c r="B21" s="9" t="s">
        <v>251</v>
      </c>
      <c r="C21" s="39" t="s">
        <v>107</v>
      </c>
      <c r="D21" s="64">
        <v>45972</v>
      </c>
      <c r="E21" s="39">
        <v>1</v>
      </c>
    </row>
    <row r="22" spans="1:5" x14ac:dyDescent="0.2">
      <c r="A22" s="8">
        <v>21</v>
      </c>
      <c r="B22" s="9" t="s">
        <v>187</v>
      </c>
      <c r="C22" s="39" t="s">
        <v>126</v>
      </c>
      <c r="D22" s="64">
        <v>45973</v>
      </c>
      <c r="E22" s="39">
        <v>3</v>
      </c>
    </row>
    <row r="23" spans="1:5" x14ac:dyDescent="0.2">
      <c r="A23" s="48">
        <v>22</v>
      </c>
      <c r="B23" s="91" t="s">
        <v>188</v>
      </c>
      <c r="C23" s="39" t="s">
        <v>126</v>
      </c>
      <c r="D23" s="64">
        <v>45973</v>
      </c>
      <c r="E23" s="39">
        <v>3</v>
      </c>
    </row>
    <row r="24" spans="1:5" x14ac:dyDescent="0.2">
      <c r="A24" s="8">
        <v>23</v>
      </c>
      <c r="B24" s="160" t="s">
        <v>249</v>
      </c>
      <c r="C24" s="102" t="s">
        <v>107</v>
      </c>
      <c r="D24" s="146">
        <v>45973</v>
      </c>
      <c r="E24" s="147">
        <v>2</v>
      </c>
    </row>
    <row r="25" spans="1:5" x14ac:dyDescent="0.2">
      <c r="A25" s="48">
        <v>24</v>
      </c>
      <c r="B25" s="148" t="s">
        <v>319</v>
      </c>
      <c r="C25" s="149" t="s">
        <v>318</v>
      </c>
      <c r="D25" s="162">
        <v>45975</v>
      </c>
      <c r="E25" s="149">
        <v>2</v>
      </c>
    </row>
    <row r="26" spans="1:5" x14ac:dyDescent="0.2">
      <c r="A26" s="8">
        <v>25</v>
      </c>
      <c r="B26" s="161" t="s">
        <v>250</v>
      </c>
      <c r="C26" s="112" t="s">
        <v>178</v>
      </c>
      <c r="D26" s="116">
        <v>45979</v>
      </c>
      <c r="E26" s="112">
        <v>2</v>
      </c>
    </row>
    <row r="27" spans="1:5" x14ac:dyDescent="0.2">
      <c r="A27" s="8">
        <v>26</v>
      </c>
      <c r="B27" s="9" t="s">
        <v>257</v>
      </c>
      <c r="C27" s="39">
        <v>1830</v>
      </c>
      <c r="D27" s="87">
        <v>45979</v>
      </c>
      <c r="E27" s="45">
        <v>2</v>
      </c>
    </row>
    <row r="28" spans="1:5" x14ac:dyDescent="0.2">
      <c r="A28" s="8">
        <v>27</v>
      </c>
      <c r="B28" s="9" t="s">
        <v>187</v>
      </c>
      <c r="C28" s="39" t="s">
        <v>126</v>
      </c>
      <c r="D28" s="64">
        <v>45980</v>
      </c>
      <c r="E28" s="39">
        <v>3</v>
      </c>
    </row>
    <row r="29" spans="1:5" x14ac:dyDescent="0.2">
      <c r="A29" s="8">
        <v>28</v>
      </c>
      <c r="B29" s="9" t="s">
        <v>188</v>
      </c>
      <c r="C29" s="39" t="s">
        <v>126</v>
      </c>
      <c r="D29" s="64">
        <v>45981</v>
      </c>
      <c r="E29" s="39">
        <v>3</v>
      </c>
    </row>
    <row r="30" spans="1:5" x14ac:dyDescent="0.2">
      <c r="A30" s="8">
        <v>29</v>
      </c>
      <c r="B30" s="9" t="s">
        <v>203</v>
      </c>
      <c r="C30" s="39" t="s">
        <v>104</v>
      </c>
      <c r="D30" s="87">
        <v>45983</v>
      </c>
      <c r="E30" s="45">
        <v>3</v>
      </c>
    </row>
    <row r="31" spans="1:5" x14ac:dyDescent="0.2">
      <c r="A31" s="8">
        <v>30</v>
      </c>
      <c r="B31" s="9" t="s">
        <v>253</v>
      </c>
      <c r="C31" s="9"/>
      <c r="D31" s="64">
        <v>45986</v>
      </c>
      <c r="E31" s="39">
        <v>1</v>
      </c>
    </row>
    <row r="32" spans="1:5" x14ac:dyDescent="0.2">
      <c r="A32" s="8">
        <v>31</v>
      </c>
      <c r="B32" s="9" t="s">
        <v>187</v>
      </c>
      <c r="C32" s="39" t="s">
        <v>126</v>
      </c>
      <c r="D32" s="64">
        <v>45987</v>
      </c>
      <c r="E32" s="39">
        <v>3</v>
      </c>
    </row>
    <row r="33" spans="1:5" x14ac:dyDescent="0.2">
      <c r="A33" s="8">
        <v>32</v>
      </c>
      <c r="B33" s="9" t="s">
        <v>188</v>
      </c>
      <c r="C33" s="39" t="s">
        <v>126</v>
      </c>
      <c r="D33" s="64">
        <v>45988</v>
      </c>
      <c r="E33" s="39">
        <v>3</v>
      </c>
    </row>
    <row r="34" spans="1:5" x14ac:dyDescent="0.2">
      <c r="A34" s="8">
        <v>33</v>
      </c>
      <c r="B34" s="9" t="s">
        <v>261</v>
      </c>
      <c r="C34" s="39" t="s">
        <v>104</v>
      </c>
      <c r="D34" s="68">
        <v>45990</v>
      </c>
      <c r="E34" s="45">
        <v>3</v>
      </c>
    </row>
    <row r="35" spans="1:5" x14ac:dyDescent="0.2">
      <c r="A35" s="8">
        <v>34</v>
      </c>
      <c r="B35" s="9" t="s">
        <v>206</v>
      </c>
      <c r="C35" s="39" t="s">
        <v>104</v>
      </c>
      <c r="D35" s="68">
        <v>45991</v>
      </c>
      <c r="E35" s="45">
        <v>3</v>
      </c>
    </row>
    <row r="36" spans="1:5" x14ac:dyDescent="0.2">
      <c r="A36" s="8">
        <v>35</v>
      </c>
      <c r="B36" s="9" t="s">
        <v>320</v>
      </c>
      <c r="C36" s="39">
        <v>1800</v>
      </c>
      <c r="D36" s="68">
        <v>45993</v>
      </c>
      <c r="E36" s="45">
        <v>2</v>
      </c>
    </row>
    <row r="37" spans="1:5" x14ac:dyDescent="0.2">
      <c r="A37" s="8">
        <v>36</v>
      </c>
      <c r="B37" s="9" t="s">
        <v>311</v>
      </c>
      <c r="C37" s="17">
        <v>1730</v>
      </c>
      <c r="D37" s="68">
        <v>45994</v>
      </c>
      <c r="E37" s="45">
        <v>2</v>
      </c>
    </row>
    <row r="38" spans="1:5" x14ac:dyDescent="0.2">
      <c r="A38" s="8">
        <v>37</v>
      </c>
      <c r="B38" s="9" t="s">
        <v>187</v>
      </c>
      <c r="C38" s="39" t="s">
        <v>126</v>
      </c>
      <c r="D38" s="50">
        <v>45995</v>
      </c>
      <c r="E38" s="39">
        <v>3</v>
      </c>
    </row>
    <row r="39" spans="1:5" x14ac:dyDescent="0.2">
      <c r="A39" s="8">
        <v>38</v>
      </c>
      <c r="B39" s="9" t="s">
        <v>188</v>
      </c>
      <c r="C39" s="39" t="s">
        <v>126</v>
      </c>
      <c r="D39" s="50">
        <v>45996</v>
      </c>
      <c r="E39" s="39">
        <v>3</v>
      </c>
    </row>
    <row r="40" spans="1:5" x14ac:dyDescent="0.2">
      <c r="A40" s="8">
        <v>39</v>
      </c>
      <c r="B40" s="9" t="s">
        <v>187</v>
      </c>
      <c r="C40" s="39" t="s">
        <v>126</v>
      </c>
      <c r="D40" s="50">
        <v>46001</v>
      </c>
      <c r="E40" s="39">
        <v>3</v>
      </c>
    </row>
    <row r="41" spans="1:5" x14ac:dyDescent="0.2">
      <c r="A41" s="8">
        <v>40</v>
      </c>
      <c r="B41" s="9" t="s">
        <v>188</v>
      </c>
      <c r="C41" s="39" t="s">
        <v>126</v>
      </c>
      <c r="D41" s="50">
        <v>46002</v>
      </c>
      <c r="E41" s="39">
        <v>3</v>
      </c>
    </row>
    <row r="42" spans="1:5" x14ac:dyDescent="0.2">
      <c r="A42" s="8">
        <v>41</v>
      </c>
      <c r="B42" s="9" t="s">
        <v>347</v>
      </c>
      <c r="C42" s="39" t="s">
        <v>348</v>
      </c>
      <c r="D42" s="50">
        <v>46007</v>
      </c>
      <c r="E42" s="39">
        <v>1</v>
      </c>
    </row>
    <row r="43" spans="1:5" x14ac:dyDescent="0.2">
      <c r="A43" s="8">
        <v>42</v>
      </c>
      <c r="B43" s="9" t="s">
        <v>187</v>
      </c>
      <c r="C43" s="39" t="s">
        <v>126</v>
      </c>
      <c r="D43" s="50">
        <v>46008</v>
      </c>
      <c r="E43" s="39">
        <v>3</v>
      </c>
    </row>
    <row r="44" spans="1:5" x14ac:dyDescent="0.2">
      <c r="A44" s="8">
        <v>43</v>
      </c>
      <c r="B44" s="9" t="s">
        <v>188</v>
      </c>
      <c r="C44" s="39" t="s">
        <v>126</v>
      </c>
      <c r="D44" s="64">
        <v>46009</v>
      </c>
      <c r="E44" s="39">
        <v>3</v>
      </c>
    </row>
    <row r="45" spans="1:5" x14ac:dyDescent="0.2">
      <c r="A45" s="8">
        <v>44</v>
      </c>
      <c r="B45" s="9" t="s">
        <v>187</v>
      </c>
      <c r="C45" s="39" t="s">
        <v>126</v>
      </c>
      <c r="D45" s="50">
        <v>46013</v>
      </c>
      <c r="E45" s="39">
        <v>3</v>
      </c>
    </row>
    <row r="46" spans="1:5" x14ac:dyDescent="0.2">
      <c r="A46" s="8">
        <v>45</v>
      </c>
      <c r="B46" s="9" t="s">
        <v>188</v>
      </c>
      <c r="C46" s="39" t="s">
        <v>126</v>
      </c>
      <c r="D46" s="64">
        <v>46014</v>
      </c>
      <c r="E46" s="39">
        <v>3</v>
      </c>
    </row>
    <row r="47" spans="1:5" x14ac:dyDescent="0.2">
      <c r="A47" s="8">
        <v>46</v>
      </c>
      <c r="B47" s="9" t="s">
        <v>407</v>
      </c>
      <c r="C47" s="39" t="s">
        <v>406</v>
      </c>
      <c r="D47" s="64">
        <v>46016</v>
      </c>
      <c r="E47" s="39">
        <v>2</v>
      </c>
    </row>
    <row r="48" spans="1:5" x14ac:dyDescent="0.2">
      <c r="A48" s="8">
        <v>47</v>
      </c>
      <c r="B48" s="9" t="s">
        <v>407</v>
      </c>
      <c r="C48" s="39" t="s">
        <v>406</v>
      </c>
      <c r="D48" s="64">
        <v>46017</v>
      </c>
      <c r="E48" s="39">
        <v>2</v>
      </c>
    </row>
    <row r="49" spans="1:5" x14ac:dyDescent="0.2">
      <c r="A49" s="8">
        <v>48</v>
      </c>
      <c r="B49" s="9" t="s">
        <v>187</v>
      </c>
      <c r="C49" s="39" t="s">
        <v>126</v>
      </c>
      <c r="D49" s="50">
        <v>46020</v>
      </c>
      <c r="E49" s="39">
        <v>3</v>
      </c>
    </row>
    <row r="50" spans="1:5" x14ac:dyDescent="0.2">
      <c r="A50" s="8">
        <v>49</v>
      </c>
      <c r="B50" s="9" t="s">
        <v>188</v>
      </c>
      <c r="C50" s="39" t="s">
        <v>126</v>
      </c>
      <c r="D50" s="64">
        <v>46021</v>
      </c>
      <c r="E50" s="39">
        <v>3</v>
      </c>
    </row>
    <row r="51" spans="1:5" x14ac:dyDescent="0.2">
      <c r="A51" s="8">
        <v>50</v>
      </c>
      <c r="B51" s="9" t="s">
        <v>339</v>
      </c>
      <c r="C51" s="17" t="s">
        <v>405</v>
      </c>
      <c r="D51" s="108">
        <v>46021</v>
      </c>
      <c r="E51" s="45">
        <v>2</v>
      </c>
    </row>
    <row r="52" spans="1:5" x14ac:dyDescent="0.2">
      <c r="A52" s="8">
        <v>51</v>
      </c>
      <c r="B52" s="9" t="s">
        <v>431</v>
      </c>
      <c r="C52" s="39"/>
      <c r="D52" s="64">
        <v>46022</v>
      </c>
      <c r="E52" s="39">
        <v>1</v>
      </c>
    </row>
    <row r="53" spans="1:5" x14ac:dyDescent="0.2">
      <c r="A53" s="8">
        <v>52</v>
      </c>
      <c r="B53" s="9" t="s">
        <v>431</v>
      </c>
      <c r="C53" s="39"/>
      <c r="D53" s="64">
        <v>46022</v>
      </c>
      <c r="E53" s="39">
        <v>1</v>
      </c>
    </row>
    <row r="54" spans="1:5" x14ac:dyDescent="0.2">
      <c r="A54" s="8">
        <v>53</v>
      </c>
      <c r="B54" s="9" t="s">
        <v>432</v>
      </c>
      <c r="C54" s="39"/>
      <c r="D54" s="64">
        <v>46027</v>
      </c>
      <c r="E54" s="39">
        <v>1</v>
      </c>
    </row>
    <row r="55" spans="1:5" x14ac:dyDescent="0.2">
      <c r="A55" s="8">
        <v>54</v>
      </c>
      <c r="B55" s="9" t="s">
        <v>354</v>
      </c>
      <c r="C55" s="39" t="s">
        <v>397</v>
      </c>
      <c r="D55" s="51">
        <v>46027</v>
      </c>
      <c r="E55" s="39">
        <v>1</v>
      </c>
    </row>
    <row r="56" spans="1:5" x14ac:dyDescent="0.2">
      <c r="A56" s="48">
        <v>55</v>
      </c>
      <c r="B56" s="9" t="s">
        <v>398</v>
      </c>
      <c r="C56" s="39" t="s">
        <v>399</v>
      </c>
      <c r="D56" s="51">
        <v>46027</v>
      </c>
      <c r="E56" s="39">
        <v>1</v>
      </c>
    </row>
    <row r="57" spans="1:5" x14ac:dyDescent="0.2">
      <c r="A57" s="48">
        <v>56</v>
      </c>
      <c r="B57" s="9" t="s">
        <v>402</v>
      </c>
      <c r="C57" s="39" t="s">
        <v>380</v>
      </c>
      <c r="D57" s="64">
        <v>46028</v>
      </c>
      <c r="E57" s="17">
        <v>1</v>
      </c>
    </row>
    <row r="58" spans="1:5" x14ac:dyDescent="0.2">
      <c r="A58" s="48">
        <v>57</v>
      </c>
      <c r="B58" s="9" t="s">
        <v>322</v>
      </c>
      <c r="C58" s="39" t="s">
        <v>397</v>
      </c>
      <c r="D58" s="64">
        <v>46028</v>
      </c>
      <c r="E58" s="17">
        <v>1</v>
      </c>
    </row>
    <row r="59" spans="1:5" x14ac:dyDescent="0.2">
      <c r="A59" s="48">
        <v>58</v>
      </c>
      <c r="B59" s="9" t="s">
        <v>339</v>
      </c>
      <c r="C59" s="39" t="s">
        <v>399</v>
      </c>
      <c r="D59" s="64">
        <v>46028</v>
      </c>
      <c r="E59" s="17">
        <v>1</v>
      </c>
    </row>
    <row r="60" spans="1:5" x14ac:dyDescent="0.2">
      <c r="A60" s="8">
        <v>59</v>
      </c>
      <c r="B60" s="46" t="s">
        <v>381</v>
      </c>
      <c r="C60" s="39" t="s">
        <v>380</v>
      </c>
      <c r="D60" s="51">
        <v>46031</v>
      </c>
      <c r="E60" s="39">
        <v>2</v>
      </c>
    </row>
    <row r="61" spans="1:5" x14ac:dyDescent="0.2">
      <c r="A61" s="8">
        <v>60</v>
      </c>
      <c r="B61" s="46" t="s">
        <v>411</v>
      </c>
      <c r="C61" s="39" t="s">
        <v>380</v>
      </c>
      <c r="D61" s="68">
        <v>46032</v>
      </c>
      <c r="E61" s="45">
        <v>2</v>
      </c>
    </row>
    <row r="62" spans="1:5" x14ac:dyDescent="0.2">
      <c r="A62" s="8">
        <v>61</v>
      </c>
      <c r="B62" s="46" t="s">
        <v>412</v>
      </c>
      <c r="C62" s="39" t="s">
        <v>399</v>
      </c>
      <c r="D62" s="64">
        <v>46034</v>
      </c>
      <c r="E62" s="39">
        <v>1</v>
      </c>
    </row>
    <row r="63" spans="1:5" x14ac:dyDescent="0.2">
      <c r="A63" s="8">
        <v>62</v>
      </c>
      <c r="B63" s="28" t="s">
        <v>379</v>
      </c>
      <c r="C63" s="39" t="s">
        <v>380</v>
      </c>
      <c r="D63" s="50">
        <v>46035</v>
      </c>
      <c r="E63" s="39">
        <v>2</v>
      </c>
    </row>
    <row r="64" spans="1:5" x14ac:dyDescent="0.2">
      <c r="A64" s="8">
        <v>63</v>
      </c>
      <c r="B64" s="46" t="s">
        <v>413</v>
      </c>
      <c r="C64" s="39" t="s">
        <v>399</v>
      </c>
      <c r="D64" s="87">
        <v>46039</v>
      </c>
      <c r="E64" s="45">
        <v>2</v>
      </c>
    </row>
    <row r="65" spans="1:5" x14ac:dyDescent="0.2">
      <c r="A65" s="48">
        <v>64</v>
      </c>
      <c r="B65" s="9" t="s">
        <v>516</v>
      </c>
      <c r="C65" s="39" t="s">
        <v>517</v>
      </c>
      <c r="D65" s="64">
        <v>46071</v>
      </c>
      <c r="E65" s="39">
        <v>1</v>
      </c>
    </row>
    <row r="66" spans="1:5" x14ac:dyDescent="0.2">
      <c r="A66" s="48">
        <v>65</v>
      </c>
      <c r="B66" s="46"/>
      <c r="C66" s="39"/>
      <c r="D66" s="50"/>
      <c r="E66" s="39"/>
    </row>
    <row r="67" spans="1:5" x14ac:dyDescent="0.2">
      <c r="A67" s="48">
        <v>66</v>
      </c>
      <c r="B67" s="46"/>
      <c r="C67" s="39"/>
      <c r="D67" s="50"/>
      <c r="E67" s="39"/>
    </row>
    <row r="68" spans="1:5" x14ac:dyDescent="0.2">
      <c r="A68" s="48">
        <v>67</v>
      </c>
      <c r="B68" s="46"/>
      <c r="C68" s="39"/>
      <c r="D68" s="50"/>
      <c r="E68" s="39"/>
    </row>
    <row r="69" spans="1:5" x14ac:dyDescent="0.2">
      <c r="A69" s="8">
        <v>68</v>
      </c>
      <c r="B69" s="46"/>
      <c r="C69" s="39"/>
      <c r="D69" s="50"/>
      <c r="E69" s="39"/>
    </row>
    <row r="70" spans="1:5" x14ac:dyDescent="0.2">
      <c r="A70" s="8">
        <v>69</v>
      </c>
      <c r="B70" s="46"/>
      <c r="C70" s="39"/>
      <c r="D70" s="50"/>
      <c r="E70" s="39"/>
    </row>
    <row r="71" spans="1:5" x14ac:dyDescent="0.2">
      <c r="A71" s="8">
        <v>70</v>
      </c>
      <c r="B71" s="46"/>
      <c r="C71" s="39"/>
      <c r="D71" s="50"/>
      <c r="E71" s="39"/>
    </row>
    <row r="72" spans="1:5" x14ac:dyDescent="0.2">
      <c r="A72" s="8">
        <v>71</v>
      </c>
      <c r="B72" s="46"/>
      <c r="C72" s="39"/>
      <c r="D72" s="50"/>
      <c r="E72" s="39"/>
    </row>
    <row r="73" spans="1:5" x14ac:dyDescent="0.2">
      <c r="A73" s="8">
        <v>72</v>
      </c>
      <c r="B73" s="46"/>
      <c r="C73" s="39"/>
      <c r="D73" s="50"/>
      <c r="E73" s="39"/>
    </row>
    <row r="74" spans="1:5" x14ac:dyDescent="0.2">
      <c r="A74" s="48">
        <v>73</v>
      </c>
      <c r="B74" s="46"/>
      <c r="C74" s="39"/>
      <c r="D74" s="50"/>
      <c r="E74" s="39"/>
    </row>
    <row r="75" spans="1:5" x14ac:dyDescent="0.2">
      <c r="A75" s="48">
        <v>74</v>
      </c>
      <c r="B75" s="46"/>
      <c r="C75" s="39"/>
      <c r="D75" s="50"/>
      <c r="E75" s="39"/>
    </row>
    <row r="76" spans="1:5" x14ac:dyDescent="0.2">
      <c r="A76" s="48">
        <v>75</v>
      </c>
      <c r="B76" s="46"/>
      <c r="C76" s="39"/>
      <c r="D76" s="50"/>
      <c r="E76" s="39"/>
    </row>
    <row r="77" spans="1:5" x14ac:dyDescent="0.2">
      <c r="A77" s="48">
        <v>76</v>
      </c>
      <c r="B77" s="46"/>
      <c r="C77" s="39"/>
      <c r="D77" s="50"/>
      <c r="E77" s="39"/>
    </row>
    <row r="78" spans="1:5" x14ac:dyDescent="0.2">
      <c r="A78" s="8">
        <v>77</v>
      </c>
      <c r="B78" s="46"/>
      <c r="C78" s="39"/>
      <c r="D78" s="50"/>
      <c r="E78" s="39"/>
    </row>
    <row r="79" spans="1:5" x14ac:dyDescent="0.2">
      <c r="A79" s="8">
        <v>78</v>
      </c>
      <c r="B79" s="46"/>
      <c r="C79" s="39"/>
      <c r="D79" s="50"/>
      <c r="E79" s="39"/>
    </row>
    <row r="80" spans="1:5" x14ac:dyDescent="0.2">
      <c r="A80" s="8">
        <v>79</v>
      </c>
      <c r="B80" s="9"/>
      <c r="C80" s="39"/>
      <c r="D80" s="50"/>
      <c r="E80" s="39"/>
    </row>
    <row r="81" spans="1:5" ht="17" thickBot="1" x14ac:dyDescent="0.25"/>
    <row r="82" spans="1:5" ht="17" thickBot="1" x14ac:dyDescent="0.25">
      <c r="A82" s="309" t="s">
        <v>92</v>
      </c>
      <c r="B82" s="310"/>
      <c r="C82" s="310"/>
      <c r="D82" s="310"/>
      <c r="E82" s="71">
        <f>SUM(E2:E80)</f>
        <v>166</v>
      </c>
    </row>
  </sheetData>
  <mergeCells count="4">
    <mergeCell ref="I1:J1"/>
    <mergeCell ref="A82:D82"/>
    <mergeCell ref="I11:M13"/>
    <mergeCell ref="I14:M14"/>
  </mergeCells>
  <phoneticPr fontId="19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15</vt:i4>
      </vt:variant>
    </vt:vector>
  </HeadingPairs>
  <TitlesOfParts>
    <vt:vector size="15" baseType="lpstr">
      <vt:lpstr>TOPLAM</vt:lpstr>
      <vt:lpstr>Ar.Gör. Bilgileri</vt:lpstr>
      <vt:lpstr>Puan Baremi</vt:lpstr>
      <vt:lpstr>Haftalık Program</vt:lpstr>
      <vt:lpstr>Genel Görevler</vt:lpstr>
      <vt:lpstr>Begüm DOGANAY</vt:lpstr>
      <vt:lpstr>Fatih NACAR</vt:lpstr>
      <vt:lpstr>Y.Tarık MUTLU</vt:lpstr>
      <vt:lpstr>Merve GÜL ÇIVGIN</vt:lpstr>
      <vt:lpstr>Sinan COŞKUN</vt:lpstr>
      <vt:lpstr>Rukiye GÜLMEZ</vt:lpstr>
      <vt:lpstr>Samet BİÇEN</vt:lpstr>
      <vt:lpstr>Cenk KAYA</vt:lpstr>
      <vt:lpstr>Berkehan İNAL</vt:lpstr>
      <vt:lpstr>Muhittin ORHAN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Begüm Doganay</dc:creator>
  <cp:lastModifiedBy>Begüm Doganay</cp:lastModifiedBy>
  <dcterms:created xsi:type="dcterms:W3CDTF">2025-07-09T12:52:20Z</dcterms:created>
  <dcterms:modified xsi:type="dcterms:W3CDTF">2026-05-17T19:08:08Z</dcterms:modified>
</cp:coreProperties>
</file>